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1c23bb6dc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Mata Kuliah" sheetId="1" r:id="Rbb06457c25a2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7"/>
      <x:color rgb="FFFFFFFF"/>
      <x:name val="Aptos Display"/>
    </x:font>
    <x:font>
      <x:i/>
      <x:sz val="10"/>
      <x:color rgb="FF2C5367"/>
      <x:name val="Aptos"/>
    </x:font>
    <x:font>
      <x:b/>
      <x:sz val="10"/>
      <x:color rgb="FF172B3A"/>
      <x:name val="Aptos"/>
    </x:font>
    <x:font>
      <x:b/>
      <x:sz val="10"/>
      <x:color rgb="FFFFFFFF"/>
      <x:name val="Aptos"/>
    </x:font>
    <x:font>
      <x:sz val="10"/>
      <x:color rgb="FF1F2933"/>
      <x:name val="Aptos"/>
    </x:font>
    <x:font>
      <x:i/>
      <x:sz val="9"/>
      <x:color rgb="FF52636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D3553"/>
      </x:patternFill>
    </x:fill>
    <x:fill>
      <x:patternFill patternType="solid">
        <x:fgColor rgb="FFE8F1F5"/>
      </x:patternFill>
    </x:fill>
    <x:fill>
      <x:patternFill patternType="solid">
        <x:fgColor rgb="FFF4B942"/>
      </x:patternFill>
    </x:fill>
    <x:fill>
      <x:patternFill patternType="solid">
        <x:fgColor rgb="FF126E6A"/>
      </x:patternFill>
    </x:fill>
    <x:fill>
      <x:patternFill patternType="solid">
        <x:fgColor rgb="FFF3F6F8"/>
      </x:patternFill>
    </x:fill>
  </x:fills>
  <x:borders count="13">
    <x:border/>
    <x:border>
      <x:left style="thin">
        <x:color rgb="FFD29B29"/>
      </x:left>
      <x:top style="thin">
        <x:color rgb="FFD29B29"/>
      </x:top>
      <x:bottom style="thin">
        <x:color rgb="FFD29B29"/>
      </x:bottom>
    </x:border>
    <x:border>
      <x:top style="thin">
        <x:color rgb="FFD29B29"/>
      </x:top>
      <x:bottom style="thin">
        <x:color rgb="FFD29B29"/>
      </x:bottom>
    </x:border>
    <x:border>
      <x:right style="thin">
        <x:color rgb="FFD29B29"/>
      </x:right>
      <x:top style="thin">
        <x:color rgb="FFD29B29"/>
      </x:top>
      <x:bottom style="thin">
        <x:color rgb="FFD29B29"/>
      </x:bottom>
    </x:border>
    <x:border>
      <x:bottom style="thin">
        <x:color rgb="FFD7E1E7"/>
      </x:bottom>
    </x:border>
    <x:border>
      <x:top style="thin">
        <x:color rgb="FFD7E1E7"/>
      </x:top>
      <x:bottom style="thin">
        <x:color rgb="FFD7E1E7"/>
      </x:bottom>
    </x:border>
    <x:border>
      <x:top style="thin">
        <x:color rgb="FFD7E1E7"/>
      </x:top>
    </x:border>
    <x:border>
      <x:left style="thin">
        <x:color rgb="FFC8D4DA"/>
      </x:left>
      <x:top style="thin">
        <x:color rgb="FFC8D4DA"/>
      </x:top>
    </x:border>
    <x:border>
      <x:top style="thin">
        <x:color rgb="FFC8D4DA"/>
      </x:top>
    </x:border>
    <x:border>
      <x:right style="thin">
        <x:color rgb="FFC8D4DA"/>
      </x:right>
      <x:top style="thin">
        <x:color rgb="FFC8D4DA"/>
      </x:top>
    </x:border>
    <x:border>
      <x:left style="thin">
        <x:color rgb="FFC8D4DA"/>
      </x:left>
      <x:bottom style="thin">
        <x:color rgb="FFC8D4DA"/>
      </x:bottom>
    </x:border>
    <x:border>
      <x:bottom style="thin">
        <x:color rgb="FFC8D4DA"/>
      </x:bottom>
    </x:border>
    <x:border>
      <x:right style="thin">
        <x:color rgb="FFC8D4DA"/>
      </x:right>
      <x:bottom style="thin">
        <x:color rgb="FFC8D4DA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200" fontId="5" fillId="0" borderId="4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horizontal="center" vertical="center" wrapText="1"/>
    </x:xf>
    <x:xf numFmtId="200" fontId="5" fillId="0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left" wrapText="1"/>
    </x:xf>
    <x:xf numFmtId="0" fontId="6" fillId="6" borderId="8" xfId="0" applyNumberFormat="1" applyFont="1" applyFill="1" applyBorder="1" applyAlignment="1">
      <x:alignment horizontal="left" wrapText="1"/>
    </x:xf>
    <x:xf numFmtId="0" fontId="6" fillId="6" borderId="9" xfId="0" applyNumberFormat="1" applyFont="1" applyFill="1" applyBorder="1" applyAlignment="1">
      <x:alignment horizontal="left" wrapText="1"/>
    </x:xf>
    <x:xf numFmtId="0" fontId="6" fillId="6" borderId="10" xfId="0" applyNumberFormat="1" applyFont="1" applyFill="1" applyBorder="1" applyAlignment="1">
      <x:alignment horizontal="left" wrapText="1"/>
    </x:xf>
    <x:xf numFmtId="0" fontId="6" fillId="6" borderId="11" xfId="0" applyNumberFormat="1" applyFont="1" applyFill="1" applyBorder="1" applyAlignment="1">
      <x:alignment horizontal="left" wrapText="1"/>
    </x:xf>
    <x:xf numFmtId="0" fontId="6" fillId="6" borderId="12" xfId="0" applyNumberFormat="1" applyFont="1" applyFill="1" applyBorder="1" applyAlignment="1">
      <x:alignment horizontal="left" wrapText="1"/>
    </x:xf>
    <x:xf numFmtId="0" fontId="6" fillId="6" borderId="7" xfId="0" applyNumberFormat="1" applyFont="1" applyFill="1" applyBorder="1" applyAlignment="1">
      <x:alignment horizontal="left" vertical="center" wrapText="1"/>
    </x:xf>
    <x:xf numFmtId="0" fontId="6" fillId="6" borderId="8" xfId="0" applyNumberFormat="1" applyFont="1" applyFill="1" applyBorder="1" applyAlignment="1">
      <x:alignment horizontal="left" vertical="center" wrapText="1"/>
    </x:xf>
    <x:xf numFmtId="0" fontId="6" fillId="6" borderId="9" xfId="0" applyNumberFormat="1" applyFont="1" applyFill="1" applyBorder="1" applyAlignment="1">
      <x:alignment horizontal="left" vertical="center" wrapText="1"/>
    </x:xf>
    <x:xf numFmtId="0" fontId="6" fillId="6" borderId="10" xfId="0" applyNumberFormat="1" applyFont="1" applyFill="1" applyBorder="1" applyAlignment="1">
      <x:alignment horizontal="left" vertical="center" wrapText="1"/>
    </x:xf>
    <x:xf numFmtId="0" fontId="6" fillId="6" borderId="11" xfId="0" applyNumberFormat="1" applyFont="1" applyFill="1" applyBorder="1" applyAlignment="1">
      <x:alignment horizontal="left" vertical="center" wrapText="1"/>
    </x:xf>
    <x:xf numFmtId="0" fontId="6" fillId="6" borderId="1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b/>
        <x:color rgb="FF07545B"/>
      </x:font>
      <x:fill>
        <x:patternFill patternType="solid">
          <x:bgColor rgb="FFD9EEF2"/>
        </x:patternFill>
      </x:fill>
    </x:dxf>
    <x:dxf>
      <x:font>
        <x:b/>
        <x:color rgb="FF7953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15f4c628e4cb4" /><Relationship Type="http://schemas.openxmlformats.org/officeDocument/2006/relationships/theme" Target="/xl/theme/theme1.xml" Id="R07db006a33534d54" /><Relationship Type="http://schemas.openxmlformats.org/officeDocument/2006/relationships/sharedStrings" Target="/xl/sharedStrings.xml" Id="Rb785d9b928aa4b6a" /><Relationship Type="http://schemas.openxmlformats.org/officeDocument/2006/relationships/worksheet" Target="/xl/worksheets/sheet1.xml" Id="Rbb06457c25a24691" /></Relationships>
</file>

<file path=xl/tables/table1.xml><?xml version="1.0" encoding="utf-8"?>
<x:table xmlns:x="http://schemas.openxmlformats.org/spreadsheetml/2006/main" id="1" name="DaftarMataKuliahTable" displayName="DaftarMataKuliahTable" ref="A6:E31" headerRowCount="1">
  <x:autoFilter ref="A6:E31"/>
  <x:tableColumns count="5">
    <x:tableColumn id="1" name="No."/>
    <x:tableColumn id="2" name="Nama Mata Kuliah"/>
    <x:tableColumn id="3" name="Dosen Pengampu"/>
    <x:tableColumn id="4" name="Semester"/>
    <x:tableColumn id="5" name="Mata Kuliah (Wajib/Pilihan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75bd45c2084d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3" hidden="0" customWidth="1"/>
    <x:col min="3" max="3" width="47" hidden="0" customWidth="1"/>
    <x:col min="4" max="4" width="12" hidden="0" customWidth="1"/>
    <x:col min="5" max="5" width="26" hidden="0" customWidth="1"/>
  </x:cols>
  <x:sheetData>
    <x:row r="1" ht="34" customHeight="1">
      <x:c r="A1" s="4" t="str">
        <x:v>DAFTAR MATA KULIAH DAN DOSEN PENGAMPU</x:v>
      </x:c>
      <x:c r="B1" s="4"/>
      <x:c r="C1" s="4"/>
      <x:c r="D1" s="4"/>
      <x:c r="E1" s="4"/>
    </x:row>
    <x:row r="2" ht="24" customHeight="1">
      <x:c r="A2" s="8" t="str">
        <x:v>Program Studi S2 Statistika Terapan FMIPA Universitas Padjadjaran | Kurikulum OBE 2026</x:v>
      </x:c>
      <x:c r="B2" s="8"/>
      <x:c r="C2" s="8"/>
      <x:c r="D2" s="8"/>
      <x:c r="E2" s="8"/>
    </x:row>
    <x:row r="4" ht="26" customHeight="1">
      <x:c r="A4" s="17" t="str">
        <x:f> "Total: " &amp; COUNTA(B7:B31)</x:f>
        <x:v>Total: 25</x:v>
      </x:c>
      <x:c r="B4" s="18" t="str">
        <x:f> "Wajib: " &amp; COUNTIF(E7:E31,"Wajib")</x:f>
        <x:v>Wajib: 7</x:v>
      </x:c>
      <x:c r="C4" s="18" t="str">
        <x:f> "Pilihan: " &amp; COUNTIF(E7:E31,"Pilihan")</x:f>
        <x:v>Pilihan: 18</x:v>
      </x:c>
      <x:c r="D4" s="18" t="str">
        <x:f> "Semester 1: " &amp; COUNTIF(D7:D31,1)</x:f>
        <x:v>Semester 1: 6</x:v>
      </x:c>
      <x:c r="E4" s="19" t="str">
        <x:f> "Semester 2: " &amp; COUNTIF(D7:D31,2)</x:f>
        <x:v>Semester 2: 19</x:v>
      </x:c>
    </x:row>
    <x:row r="6" ht="34" customHeight="1">
      <x:c r="A6" s="24" t="str">
        <x:v>No.</x:v>
      </x:c>
      <x:c r="B6" s="24" t="str">
        <x:v>Nama Mata Kuliah</x:v>
      </x:c>
      <x:c r="C6" s="24" t="str">
        <x:v>Dosen Pengampu</x:v>
      </x:c>
      <x:c r="D6" s="24" t="str">
        <x:v>Semester</x:v>
      </x:c>
      <x:c r="E6" s="24" t="str">
        <x:v>Mata Kuliah (Wajib/Pilihan)</x:v>
      </x:c>
    </x:row>
    <x:row r="7" ht="25" customHeight="1">
      <x:c r="A7" s="35" t="n">
        <x:v>1</x:v>
      </x:c>
      <x:c r="B7" s="32" t="str">
        <x:v>Statistika Inferensial</x:v>
      </x:c>
      <x:c r="C7" s="32" t="str">
        <x:v>Yudhie Andriyana, M.Sc., Ph.D.</x:v>
      </x:c>
      <x:c r="D7" s="38" t="n">
        <x:v>1</x:v>
      </x:c>
      <x:c r="E7" s="35" t="str">
        <x:v>Wajib</x:v>
      </x:c>
    </x:row>
    <x:row r="8" ht="25" customHeight="1">
      <x:c r="A8" s="36" t="n">
        <x:v>2</x:v>
      </x:c>
      <x:c r="B8" s="33" t="str">
        <x:v>Komputasi Statistik dan Optimasi</x:v>
      </x:c>
      <x:c r="C8" s="33" t="str">
        <x:v>Dr. Bertho Tantular, M.Si</x:v>
      </x:c>
      <x:c r="D8" s="39" t="n">
        <x:v>1</x:v>
      </x:c>
      <x:c r="E8" s="36" t="str">
        <x:v>Wajib</x:v>
      </x:c>
    </x:row>
    <x:row r="9" ht="25" customHeight="1">
      <x:c r="A9" s="36" t="n">
        <x:v>3</x:v>
      </x:c>
      <x:c r="B9" s="33" t="str">
        <x:v>Analisis Multivariat Tingkat Lanjut</x:v>
      </x:c>
      <x:c r="C9" s="33" t="str">
        <x:v>Dr. Irlandia Ginanjar, M.Si</x:v>
      </x:c>
      <x:c r="D9" s="39" t="n">
        <x:v>1</x:v>
      </x:c>
      <x:c r="E9" s="36" t="str">
        <x:v>Wajib</x:v>
      </x:c>
    </x:row>
    <x:row r="10" ht="25" customHeight="1">
      <x:c r="A10" s="36" t="n">
        <x:v>4</x:v>
      </x:c>
      <x:c r="B10" s="33" t="str">
        <x:v>Analisis Regresi Tingkat Lanjut</x:v>
      </x:c>
      <x:c r="C10" s="33" t="str">
        <x:v>I Gede Nyoman Mindra Jaya, Ph.D</x:v>
      </x:c>
      <x:c r="D10" s="39" t="n">
        <x:v>1</x:v>
      </x:c>
      <x:c r="E10" s="36" t="str">
        <x:v>Wajib</x:v>
      </x:c>
    </x:row>
    <x:row r="11" ht="25" customHeight="1">
      <x:c r="A11" s="36" t="n">
        <x:v>5</x:v>
      </x:c>
      <x:c r="B11" s="33" t="str">
        <x:v>Proses Stokastik Tingkat Lanjut</x:v>
      </x:c>
      <x:c r="C11" s="33" t="str">
        <x:v>Dr. Irlandia Ginanjar, M.Si</x:v>
      </x:c>
      <x:c r="D11" s="39" t="n">
        <x:v>1</x:v>
      </x:c>
      <x:c r="E11" s="36" t="str">
        <x:v>Wajib</x:v>
      </x:c>
    </x:row>
    <x:row r="12" ht="25" customHeight="1">
      <x:c r="A12" s="36" t="n">
        <x:v>6</x:v>
      </x:c>
      <x:c r="B12" s="33" t="str">
        <x:v>Analisis Deret Waktu Tingkat Lanjut</x:v>
      </x:c>
      <x:c r="C12" s="33" t="str">
        <x:v>Dr. Gumgum Darmawan, M.Si; Prof. Dr. Budi Nurani Ruchjana, M.S</x:v>
      </x:c>
      <x:c r="D12" s="39" t="n">
        <x:v>1</x:v>
      </x:c>
      <x:c r="E12" s="36" t="str">
        <x:v>Wajib</x:v>
      </x:c>
    </x:row>
    <x:row r="13" ht="25" customHeight="1">
      <x:c r="A13" s="36" t="n">
        <x:v>7</x:v>
      </x:c>
      <x:c r="B13" s="33" t="str">
        <x:v>Statistika Nonparametrik dan Pemodelan Fleksibel</x:v>
      </x:c>
      <x:c r="C13" s="33" t="str">
        <x:v>Yudhie Andriyana, M.Sc., Ph.D.</x:v>
      </x:c>
      <x:c r="D13" s="39" t="n">
        <x:v>2</x:v>
      </x:c>
      <x:c r="E13" s="36" t="str">
        <x:v>Pilihan</x:v>
      </x:c>
    </x:row>
    <x:row r="14" ht="25" customHeight="1">
      <x:c r="A14" s="36" t="n">
        <x:v>8</x:v>
      </x:c>
      <x:c r="B14" s="33" t="str">
        <x:v>Penambangan Data dan Kecerdasan Buatan</x:v>
      </x:c>
      <x:c r="C14" s="33" t="str">
        <x:v>Dr. Anindya Apriliyanti Pravitasari, M.Si.</x:v>
      </x:c>
      <x:c r="D14" s="39" t="n">
        <x:v>2</x:v>
      </x:c>
      <x:c r="E14" s="36" t="str">
        <x:v>Wajib</x:v>
      </x:c>
    </x:row>
    <x:row r="15" ht="25" customHeight="1">
      <x:c r="A15" s="36" t="n">
        <x:v>9</x:v>
      </x:c>
      <x:c r="B15" s="33" t="str">
        <x:v>Pemodelan Persamaan Struktural</x:v>
      </x:c>
      <x:c r="C15" s="33" t="str">
        <x:v>Dr. Yusep Suparman, M.Sc</x:v>
      </x:c>
      <x:c r="D15" s="39" t="n">
        <x:v>2</x:v>
      </x:c>
      <x:c r="E15" s="36" t="str">
        <x:v>Pilihan</x:v>
      </x:c>
    </x:row>
    <x:row r="16" ht="25" customHeight="1">
      <x:c r="A16" s="36" t="n">
        <x:v>10</x:v>
      </x:c>
      <x:c r="B16" s="33" t="str">
        <x:v>Analisis Spasial</x:v>
      </x:c>
      <x:c r="C16" s="33" t="str">
        <x:v>I Gede Nyoman Mindra Jaya, Ph.D</x:v>
      </x:c>
      <x:c r="D16" s="39" t="n">
        <x:v>2</x:v>
      </x:c>
      <x:c r="E16" s="36" t="str">
        <x:v>Pilihan</x:v>
      </x:c>
    </x:row>
    <x:row r="17" ht="25" customHeight="1">
      <x:c r="A17" s="36" t="n">
        <x:v>11</x:v>
      </x:c>
      <x:c r="B17" s="33" t="str">
        <x:v>Analisis Multilevel dan Longitudinal</x:v>
      </x:c>
      <x:c r="C17" s="33" t="str">
        <x:v>Dr. Bertho Tantular, M.Si</x:v>
      </x:c>
      <x:c r="D17" s="39" t="n">
        <x:v>2</x:v>
      </x:c>
      <x:c r="E17" s="36" t="str">
        <x:v>Pilihan</x:v>
      </x:c>
    </x:row>
    <x:row r="18" ht="25" customHeight="1">
      <x:c r="A18" s="36" t="n">
        <x:v>12</x:v>
      </x:c>
      <x:c r="B18" s="33" t="str">
        <x:v>Model Linear Generalisasi</x:v>
      </x:c>
      <x:c r="C18" s="33" t="str">
        <x:v>Dr. Bertho Tantular, M.Si</x:v>
      </x:c>
      <x:c r="D18" s="39" t="n">
        <x:v>2</x:v>
      </x:c>
      <x:c r="E18" s="36" t="str">
        <x:v>Pilihan</x:v>
      </x:c>
    </x:row>
    <x:row r="19" ht="25" customHeight="1">
      <x:c r="A19" s="36" t="n">
        <x:v>13</x:v>
      </x:c>
      <x:c r="B19" s="33" t="str">
        <x:v>Matematika Keuangan</x:v>
      </x:c>
      <x:c r="C19" s="33" t="str">
        <x:v>Dr. Lienda Noviyanti, M.Si</x:v>
      </x:c>
      <x:c r="D19" s="39" t="n">
        <x:v>2</x:v>
      </x:c>
      <x:c r="E19" s="36" t="str">
        <x:v>Pilihan</x:v>
      </x:c>
    </x:row>
    <x:row r="20" ht="25" customHeight="1">
      <x:c r="A20" s="36" t="n">
        <x:v>14</x:v>
      </x:c>
      <x:c r="B20" s="33" t="str">
        <x:v>Desain Eksperimen</x:v>
      </x:c>
      <x:c r="C20" s="33" t="str">
        <x:v>Dr. Sri Winarni, M.Si</x:v>
      </x:c>
      <x:c r="D20" s="39" t="n">
        <x:v>2</x:v>
      </x:c>
      <x:c r="E20" s="36" t="str">
        <x:v>Pilihan</x:v>
      </x:c>
    </x:row>
    <x:row r="21" ht="25" customHeight="1">
      <x:c r="A21" s="36" t="n">
        <x:v>15</x:v>
      </x:c>
      <x:c r="B21" s="33" t="str">
        <x:v>Teori Antrian</x:v>
      </x:c>
      <x:c r="C21" s="33" t="str">
        <x:v>Dr. Gumgum Darmawan, M.Si</x:v>
      </x:c>
      <x:c r="D21" s="39" t="n">
        <x:v>2</x:v>
      </x:c>
      <x:c r="E21" s="36" t="str">
        <x:v>Pilihan</x:v>
      </x:c>
    </x:row>
    <x:row r="22" ht="25" customHeight="1">
      <x:c r="A22" s="36" t="n">
        <x:v>16</x:v>
      </x:c>
      <x:c r="B22" s="33" t="str">
        <x:v>Matematika Aktuaria 1</x:v>
      </x:c>
      <x:c r="C22" s="33" t="str">
        <x:v>Dr. Lienda Noviyanti, M.Si</x:v>
      </x:c>
      <x:c r="D22" s="39" t="n">
        <x:v>2</x:v>
      </x:c>
      <x:c r="E22" s="36" t="str">
        <x:v>Pilihan</x:v>
      </x:c>
    </x:row>
    <x:row r="23" ht="25" customHeight="1">
      <x:c r="A23" s="36" t="n">
        <x:v>17</x:v>
      </x:c>
      <x:c r="B23" s="33" t="str">
        <x:v>Matematika Aktuaria 2</x:v>
      </x:c>
      <x:c r="C23" s="33" t="str">
        <x:v>Dr. Lienda Noviyanti, M.Si</x:v>
      </x:c>
      <x:c r="D23" s="39" t="n">
        <x:v>2</x:v>
      </x:c>
      <x:c r="E23" s="36" t="str">
        <x:v>Pilihan</x:v>
      </x:c>
    </x:row>
    <x:row r="24" ht="25" customHeight="1">
      <x:c r="A24" s="36" t="n">
        <x:v>18</x:v>
      </x:c>
      <x:c r="B24" s="33" t="str">
        <x:v>Analisis Survival</x:v>
      </x:c>
      <x:c r="C24" s="33" t="str">
        <x:v>Dr. Lienda Noviyanti, M.S.</x:v>
      </x:c>
      <x:c r="D24" s="39" t="n">
        <x:v>2</x:v>
      </x:c>
      <x:c r="E24" s="36" t="str">
        <x:v>Pilihan</x:v>
      </x:c>
    </x:row>
    <x:row r="25" ht="25" customHeight="1">
      <x:c r="A25" s="36" t="n">
        <x:v>19</x:v>
      </x:c>
      <x:c r="B25" s="33" t="str">
        <x:v>Teori Risiko</x:v>
      </x:c>
      <x:c r="C25" s="33" t="str">
        <x:v>Dr. Lienda Noviyanti, M.Si</x:v>
      </x:c>
      <x:c r="D25" s="39" t="n">
        <x:v>2</x:v>
      </x:c>
      <x:c r="E25" s="36" t="str">
        <x:v>Pilihan</x:v>
      </x:c>
    </x:row>
    <x:row r="26" ht="25" customHeight="1">
      <x:c r="A26" s="36" t="n">
        <x:v>20</x:v>
      </x:c>
      <x:c r="B26" s="33" t="str">
        <x:v>Epidemiologi</x:v>
      </x:c>
      <x:c r="C26" s="33" t="str">
        <x:v>I Gede Nyoman Mindra Jaya, Ph.D</x:v>
      </x:c>
      <x:c r="D26" s="39" t="n">
        <x:v>2</x:v>
      </x:c>
      <x:c r="E26" s="36" t="str">
        <x:v>Pilihan</x:v>
      </x:c>
    </x:row>
    <x:row r="27" ht="25" customHeight="1">
      <x:c r="A27" s="36" t="n">
        <x:v>21</x:v>
      </x:c>
      <x:c r="B27" s="33" t="str">
        <x:v>Pembelajaran Mesin</x:v>
      </x:c>
      <x:c r="C27" s="33" t="str">
        <x:v>Dr. Irlandia Ginanjar, M.Si</x:v>
      </x:c>
      <x:c r="D27" s="39" t="n">
        <x:v>2</x:v>
      </x:c>
      <x:c r="E27" s="36" t="str">
        <x:v>Pilihan</x:v>
      </x:c>
    </x:row>
    <x:row r="28" ht="25" customHeight="1">
      <x:c r="A28" s="36" t="n">
        <x:v>22</x:v>
      </x:c>
      <x:c r="B28" s="33" t="str">
        <x:v>Analisis Citra</x:v>
      </x:c>
      <x:c r="C28" s="33" t="str">
        <x:v>Dr. Anindya Apriliyanti Pravitasari, M.Si</x:v>
      </x:c>
      <x:c r="D28" s="39" t="n">
        <x:v>2</x:v>
      </x:c>
      <x:c r="E28" s="36" t="str">
        <x:v>Pilihan</x:v>
      </x:c>
    </x:row>
    <x:row r="29" ht="25" customHeight="1">
      <x:c r="A29" s="36" t="n">
        <x:v>23</x:v>
      </x:c>
      <x:c r="B29" s="33" t="str">
        <x:v>Analisis Teks</x:v>
      </x:c>
      <x:c r="C29" s="33" t="str">
        <x:v>Dr. Anindya Apriliyanti Pravitasari, M.Si</x:v>
      </x:c>
      <x:c r="D29" s="39" t="n">
        <x:v>2</x:v>
      </x:c>
      <x:c r="E29" s="36" t="str">
        <x:v>Pilihan</x:v>
      </x:c>
    </x:row>
    <x:row r="30" ht="25" customHeight="1">
      <x:c r="A30" s="36" t="n">
        <x:v>24</x:v>
      </x:c>
      <x:c r="B30" s="33" t="str">
        <x:v>Basis Data</x:v>
      </x:c>
      <x:c r="C30" s="33" t="str">
        <x:v>Dr. Bertho Tantular, M.Si</x:v>
      </x:c>
      <x:c r="D30" s="39" t="n">
        <x:v>2</x:v>
      </x:c>
      <x:c r="E30" s="36" t="str">
        <x:v>Pilihan</x:v>
      </x:c>
    </x:row>
    <x:row r="31" ht="25" customHeight="1">
      <x:c r="A31" s="37" t="n">
        <x:v>25</x:v>
      </x:c>
      <x:c r="B31" s="34" t="str">
        <x:v>Sampling Survey</x:v>
      </x:c>
      <x:c r="C31" s="34" t="str">
        <x:v>Dr. Bertho Tantular, M.Si</x:v>
      </x:c>
      <x:c r="D31" s="40" t="n">
        <x:v>2</x:v>
      </x:c>
      <x:c r="E31" s="37" t="str">
        <x:v>Pilihan</x:v>
      </x:c>
    </x:row>
    <x:row r="33" ht="22" customHeight="1">
      <x:c r="A33" s="61" t="str">
        <x:v>Sumber: Struktur Kurikulum Program Berbasis Kuliah, Kurikulum OBE 2026. Nama dosen pengampu disarikan dari materi pembelajaran dan kontrak perkuliahan masing-masing mata kuliah.</x:v>
      </x:c>
      <x:c r="B33" s="62"/>
      <x:c r="C33" s="62"/>
      <x:c r="D33" s="62"/>
      <x:c r="E33" s="63"/>
    </x:row>
    <x:row r="34" ht="22" customHeight="1">
      <x:c r="A34" s="64"/>
      <x:c r="B34" s="65"/>
      <x:c r="C34" s="65"/>
      <x:c r="D34" s="65"/>
      <x:c r="E34" s="66"/>
    </x:row>
  </x:sheetData>
  <x:mergeCells>
    <x:mergeCell ref="A1:E1"/>
    <x:mergeCell ref="A2:E2"/>
    <x:mergeCell ref="A33:E34"/>
  </x:mergeCells>
  <x:conditionalFormatting sqref="E7:E31">
    <x:cfRule type="containsText" dxfId="0" priority="1" operator="containsText" text="Wajib"/>
    <x:cfRule type="containsText" dxfId="1" priority="2" operator="containsText" text="Pilihan"/>
  </x:conditionalFormatting>
  <x:dataValidations count="2">
    <x:dataValidation type="list" sqref="D7:D31">
      <x:formula1>"1,2"</x:formula1>
    </x:dataValidation>
    <x:dataValidation type="list" sqref="E7:E31">
      <x:formula1>"Wajib,Pilihan"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75bd45c2084db9"/>
  </x:tableParts>
</x:worksheet>
</file>
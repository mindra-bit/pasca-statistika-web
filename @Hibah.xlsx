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dra/S2_Website/"/>
    </mc:Choice>
  </mc:AlternateContent>
  <xr:revisionPtr revIDLastSave="0" documentId="8_{2008897A-2E0C-2840-80BF-A475047D6447}" xr6:coauthVersionLast="47" xr6:coauthVersionMax="47" xr10:uidLastSave="{00000000-0000-0000-0000-000000000000}"/>
  <bookViews>
    <workbookView xWindow="0" yWindow="740" windowWidth="30240" windowHeight="18900" xr2:uid="{DF35ECD9-3158-E44F-A7CC-02AA05BC97B2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3" i="1" l="1"/>
  <c r="L22" i="1"/>
  <c r="L21" i="1"/>
  <c r="M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<sst xmlns="http://schemas.openxmlformats.org/spreadsheetml/2006/main" count="267" uniqueCount="157">
  <si>
    <t>No</t>
  </si>
  <si>
    <t>Tahun</t>
  </si>
  <si>
    <t>Nama Peneliti</t>
  </si>
  <si>
    <t>Judul Dokumen Penelitian</t>
  </si>
  <si>
    <t>Skema Riset</t>
  </si>
  <si>
    <t>Nomor Kontrak</t>
  </si>
  <si>
    <t>Sumber Dana</t>
  </si>
  <si>
    <t>Dana Pembiayaan Riset</t>
  </si>
  <si>
    <t>Dokumen</t>
  </si>
  <si>
    <t>Kontrak</t>
  </si>
  <si>
    <t>Output</t>
  </si>
  <si>
    <t>Diterima</t>
  </si>
  <si>
    <t>Laporan Akhir</t>
  </si>
  <si>
    <t>Filter</t>
  </si>
  <si>
    <t>2022-01</t>
  </si>
  <si>
    <t>Pengendalian Kualitas Pemberian Kredit pada Suatu Lembaga Keuangan Menggunakan Logika Fuzzy Metode Tsukamoto.</t>
  </si>
  <si>
    <t xml:space="preserve">Riset Data Pustaka dan Daring </t>
  </si>
  <si>
    <t>2022-02</t>
  </si>
  <si>
    <t>Dr. Irlandia Ginanjar S.Si., M.Si</t>
  </si>
  <si>
    <t>Triplot Analisis Korespondensi dan Korelasi untuk Menganalisis Asosiasi Data Multivariat dengan Skala Pengukuran Campuran.</t>
  </si>
  <si>
    <t>Riset Percepatan Lektor Kepala</t>
  </si>
  <si>
    <t>2022-03</t>
  </si>
  <si>
    <t>Pengembangan Aplikasi Peringatan Dini Berbagai Penyakit Menular Secara Simultan Berbasis Web.</t>
  </si>
  <si>
    <t>2022-04</t>
  </si>
  <si>
    <t>Dr. Anindya Apriliyanti Pravitasari, S.Si., M.Si</t>
  </si>
  <si>
    <t>TeDi (Teman Disabilitas): All in One Accessibility Mobile Application.</t>
  </si>
  <si>
    <t>2023-01</t>
  </si>
  <si>
    <t>Prof. Drs. Yuyun Hidayat, MS., Ph.D</t>
  </si>
  <si>
    <t>Quality Improvement Oriented Research Menggunakan Model Statistika.</t>
  </si>
  <si>
    <t>Academic Leadership Grant</t>
  </si>
  <si>
    <t>2023-02</t>
  </si>
  <si>
    <t>Model Optimisasi Portofolio Investasi Mean-VaR Berbasis Preferensi Toleransi Risiko Melibatkan Saham-Saham Yang Memiliki Volatilitas Asimetri.</t>
  </si>
  <si>
    <t>2023-03</t>
  </si>
  <si>
    <t>Dr. Dra. Titi Purwandari, MS., M.S</t>
  </si>
  <si>
    <t>Profil Ketahanan Ekonomi Kabupaten/Kota di Jawa barat Menggunakan K-Medoid Clustering Berbasis Jarak Dynamic Time Warping.</t>
  </si>
  <si>
    <t>Riset Kompetensi Dosen Unpad</t>
  </si>
  <si>
    <t>2023-04</t>
  </si>
  <si>
    <t>Model Minimasi Risiko Dengan Target Return Tertentu Dalam Portofolio Investasi Menggunakan Algoritma Genetika.</t>
  </si>
  <si>
    <t>2023-05</t>
  </si>
  <si>
    <t>Dr. Irlandia Ginanjar, S.Si., M.Si</t>
  </si>
  <si>
    <t>Metode Kategorisasi Berdasarkan Asosiasi Antar Variabel Multivariat Menggunakan Analisis Korespondensi, Komponen Utama dan Kluster.</t>
  </si>
  <si>
    <t>2023-06</t>
  </si>
  <si>
    <t>Dr. Gumgum Darmawan, S.Si., M.Si</t>
  </si>
  <si>
    <t>Pemodelan Data Deret Waktu Berdasarkan Kalender Hijriyah Dengan Pendekatan Machine Learning.</t>
  </si>
  <si>
    <t>2023-07</t>
  </si>
  <si>
    <t>Dr. Triyani Hendrawati, S.Si., M.Si</t>
  </si>
  <si>
    <t>Deteksi Ekspresi Wajah Pasien Secara Real Time Dengan Pendekatan Machine Learning.</t>
  </si>
  <si>
    <t>2023-08</t>
  </si>
  <si>
    <t>Yudhie Andriyana, S.Si., M.Sc., Ph.D</t>
  </si>
  <si>
    <t>Pengembangan Model Robust Spatio Temporal permasalahan sosial dan kesehatan masyarakat.</t>
  </si>
  <si>
    <t>2023-09</t>
  </si>
  <si>
    <t>Dr. Restu Arisanti, S.Si., M.Si</t>
  </si>
  <si>
    <t>Generalized Linear Mixed Model Dan Machine Learning Untuk Pemodelan Kasus TB Paru Di Propinsi Jawa Barat.</t>
  </si>
  <si>
    <t>2023-10</t>
  </si>
  <si>
    <t>Model Penentuan Premi dan Cadangan Asuransi Untuk Pembiayaan Kerugian Akibat Bencana Berbasis Masyarakat dan Pemerintahan Lokal Serta Pengendaliannya.</t>
  </si>
  <si>
    <t>2023-11</t>
  </si>
  <si>
    <t>2023-12</t>
  </si>
  <si>
    <t>Pembentukan Model 3D CT-Scan Thorax Covid-19 Dengan Pendekatan Machine Learning.</t>
  </si>
  <si>
    <t>2023-13</t>
  </si>
  <si>
    <t>Developing Employee Turnover Forecast Tool For Human Resource Management By Measuring Employees Wellbeing Gap Expectations.</t>
  </si>
  <si>
    <t>2024-01</t>
  </si>
  <si>
    <t>2024-02</t>
  </si>
  <si>
    <t>Model Black-Scholes untuk Penentuan Harga Opsi Beli dan Opsi Jual Menggunakan Time Series Berbasis Machine Learning.</t>
  </si>
  <si>
    <t>2024-03</t>
  </si>
  <si>
    <t>Pengembangan Model Regresi Kuantil dalam Mengatasi Permasalahan Sosial di Masyarakat.</t>
  </si>
  <si>
    <t>2024-04</t>
  </si>
  <si>
    <t>View Document</t>
  </si>
  <si>
    <t>2024-05</t>
  </si>
  <si>
    <t>Dr. Sri Winarni, S.Si., M.Si</t>
  </si>
  <si>
    <t>Exploring MNIST: Membandingkan Karakteristik Citra Melalui Fitur Fungsi Distribusi.</t>
  </si>
  <si>
    <t>2024-06</t>
  </si>
  <si>
    <t>Dr. Dra. Titi Purwandari, MS.</t>
  </si>
  <si>
    <t>Analisis Hubungan Ketahanan Ekonomi Dengan Pendapatan Per Kapita Kabupaten dan Kota Di Jawa Barat.</t>
  </si>
  <si>
    <t>2024-07</t>
  </si>
  <si>
    <t>Diferensi Fraksional Dalam Model time Series Untuk Analisis Data Keuangan.</t>
  </si>
  <si>
    <t>2025-HB01</t>
  </si>
  <si>
    <t>Model Regresi Quantile Spatial Autoregressive Exogenous Dengan Pendekatan Casetti Untuk Prediksi Fenomena Iklim Di Indonesia</t>
  </si>
  <si>
    <t>Program Bantuan Operasional Penelitian</t>
  </si>
  <si>
    <t>1709/UN6.3.1/PT.00/2025</t>
  </si>
  <si>
    <t>Kemen diktisaintek</t>
  </si>
  <si>
    <t>2025-HB02</t>
  </si>
  <si>
    <t>Methodological Development Of Generalized Linear Mixed Models: A Systematic Review With Applications In Tuberculosis Epidemiology</t>
  </si>
  <si>
    <t>Hibah Penulisan Artikel Review Batch 2 Equity - WCU T.A 2025</t>
  </si>
  <si>
    <t>5652/UN6.3.1/PT.00/2025</t>
  </si>
  <si>
    <t>Universitas Padjadjaran</t>
  </si>
  <si>
    <t>2025-HB03</t>
  </si>
  <si>
    <t>Machine Learning And Bayesian Approaches For The Diagnosis And Prediction Of Tropical Diseases: A Systematic Review</t>
  </si>
  <si>
    <t>5637/UN6.3.1/PT.00/2025</t>
  </si>
  <si>
    <t>2025-HB04</t>
  </si>
  <si>
    <t>Digging Up The Growth Of Correspondence Analysis In Indonesia: Its Use For Studying Archaeology Data</t>
  </si>
  <si>
    <t>5683/UN6.3.1/PT.00/2025</t>
  </si>
  <si>
    <t>2025-HB05</t>
  </si>
  <si>
    <t>The Evolution Of Time Series Clustering: Foundations, Methodological Progress, And Future Research Challenges</t>
  </si>
  <si>
    <t>5711/UN6.3.1/PT.00/2025</t>
  </si>
  <si>
    <t>2025-HB06</t>
  </si>
  <si>
    <t>Pengenalan Karakter Plat Kendaraan Berbasis Gaussian Copula Dan Fitur Data Simbolik Untuk Sistem Parkir Kampus Cerdas</t>
  </si>
  <si>
    <t>Hibah Riset Equity - WCU Batch 2 Unpad Tahun 2025</t>
  </si>
  <si>
    <t>5586/UN6.3.1/PT.00/2025</t>
  </si>
  <si>
    <t>2025-HB07</t>
  </si>
  <si>
    <t>Budhi Handoko, S.Si., M.Si., Ph.D</t>
  </si>
  <si>
    <t>Harnessing Expert Judgment in Complex Systems: A Review of Models, Methods, and Applications for Uncertainty Quantification and Decision Making</t>
  </si>
  <si>
    <t>Hibah Penulisan Artikel Review</t>
  </si>
  <si>
    <t>4492/UN6.D/PT.00/2025</t>
  </si>
  <si>
    <t>2025-HB08</t>
  </si>
  <si>
    <t>Dr. Lienda Noviyanti, M.Si</t>
  </si>
  <si>
    <t>Pemodelan Risiko Kerugian Finasial Secara Aktuaria Akibat Potensi Gempa Bumi sesar Besar Cimandiri Di Kota Baru Parahyangan</t>
  </si>
  <si>
    <t>4489/UN6.D/PT.00/2025</t>
  </si>
  <si>
    <t>2025-HB09</t>
  </si>
  <si>
    <t>Dr. Yusep Suparman, S.Si., M.Sc</t>
  </si>
  <si>
    <t>Pemodelan Persamaan Struktural: Analisis Kausal Dalam Penelitian Kuantitatif</t>
  </si>
  <si>
    <t>Hibah Penulisan Buku Ajar/ Referensi</t>
  </si>
  <si>
    <t>4418/UN6.D/PT.00/2025</t>
  </si>
  <si>
    <t>2025-HB10</t>
  </si>
  <si>
    <t>Analisis Data Kategori Dengan R: KOnsep, Metode, Dan Aplikasi</t>
  </si>
  <si>
    <t>4410/UN6.D/PT.00/2025</t>
  </si>
  <si>
    <t>2025-RS01</t>
  </si>
  <si>
    <t>Supervisor Riset Bagi Peneliti Post-Doctoral atas nama Dr. Annisa Nur Falah, M.Mat</t>
  </si>
  <si>
    <t>Penelitian Post-Doctoral Tahun 2025</t>
  </si>
  <si>
    <t>1210/UN6.3.1/PT.00/2025</t>
  </si>
  <si>
    <t>2025-RS02</t>
  </si>
  <si>
    <t>Non-Crossing Conditional Quantile Curves Dalam Space Time Varying Coefficient Model Pada Kasus Penyakit Menular Di Jawa Barat</t>
  </si>
  <si>
    <t>Riset Disertasi Doktor Unpad</t>
  </si>
  <si>
    <t>1000/UN6.3.1/PT.00/2025</t>
  </si>
  <si>
    <t>2025-RS03</t>
  </si>
  <si>
    <t>Model Klasifikasi Penyakit Tanaman Padi Berbasis Deep Learning Dan Copula Gaussian Untuk Mendukung Keberlanjutan Pertanian Presisi</t>
  </si>
  <si>
    <t>Riset International Matching Funds Research Grant (IMF)</t>
  </si>
  <si>
    <t>4356/UN6.D/PT.00/2025</t>
  </si>
  <si>
    <t>2025-RS04</t>
  </si>
  <si>
    <t>Model Penetapan Harga Derivatif Cuaca Dengan Proses Long Memory Dan Black-Scholes Fraksional</t>
  </si>
  <si>
    <t>4583/UN6.D/PT.00/2025</t>
  </si>
  <si>
    <t>2025-RS05</t>
  </si>
  <si>
    <t>Assesing The Quality Of Teaching Stability In Higher Education Using Yuyun-Longitudinal Mode Analysis</t>
  </si>
  <si>
    <t>4592/UN6.D/PT.00/2025</t>
  </si>
  <si>
    <t>2025-RS06</t>
  </si>
  <si>
    <t>Pemodelan Natural Language Processing Dalam Pembuatan Chatbot AI Untuk Kegiatan Akademik Program Studi Di Universitas Padjadjaran</t>
  </si>
  <si>
    <t>4584/UN6.D/PT.00/2025</t>
  </si>
  <si>
    <t>2025-RS07</t>
  </si>
  <si>
    <t>Integrasi Bayesian Deep Learning Untuk Pemodelan Geospasial Beresolusi Tinggi</t>
  </si>
  <si>
    <t>4582/UN6.D/PT.00/2025</t>
  </si>
  <si>
    <t>2026-HB01</t>
  </si>
  <si>
    <t>Dr. Bertho Tantular, S.Si., M.Si.</t>
  </si>
  <si>
    <t>Pemberdayaan Desa Berbasis Data: Pengolahan dan Visualisasi Data untuk Pengembangan Digtal Marketing Desa Rancakalong</t>
  </si>
  <si>
    <t>Hibah PPM</t>
  </si>
  <si>
    <t>6078/UN6./PM.01.01/2026</t>
  </si>
  <si>
    <t>2026-RS01</t>
  </si>
  <si>
    <t>Prof. Yuyun Hidayat, Drs., M.S., Ph.D.</t>
  </si>
  <si>
    <t>Strategi Pengelolaan Limbah Baterai Nasional Berbasis Model Proyeksi Weibeull untuk Mitigasi Risiko Lingkungan dan Optimasi Ekonomi Sirkular</t>
  </si>
  <si>
    <t>5951/UN6.D/PT.00/2026</t>
  </si>
  <si>
    <t>2026-RS02</t>
  </si>
  <si>
    <t>Dr. Gumgum Darmawan, S.Si., M.Si.</t>
  </si>
  <si>
    <t>Implementasi Tme Series Modeling dalam Simulasi Cuaca untuk Pengembangan Early Warning System</t>
  </si>
  <si>
    <t>5862/UN6.D/PT.00/2026</t>
  </si>
  <si>
    <t>2026-RS03</t>
  </si>
  <si>
    <t>Prof. I Gede Nyoman Mindra Jaya, S.Si., M.Si., Ph.D</t>
  </si>
  <si>
    <t>Pengembangan Sistem Peringatan Dini Gempa Bumi di Indonesia Berbasis AI untuk Deteksi Cepat Sinyal Seismik</t>
  </si>
  <si>
    <t>5946/UN6.D/PT.00/2026</t>
  </si>
  <si>
    <t>Prof. Dr. I Gede Nyoman Mindra Jaya, M.Si.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</si>
</sst>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5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2" fillId="0" borderId="5" xfId="0" applyFont="1" applyBorder="1"/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/>
    </xf>
    <xf numFmtId="0" fontId="3" fillId="6" borderId="6" xfId="0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top"/>
    </xf>
    <xf numFmtId="49" fontId="4" fillId="5" borderId="6" xfId="0" applyNumberFormat="1" applyFont="1" applyFill="1" applyBorder="1" applyAlignment="1">
      <alignment horizontal="left" vertical="top"/>
    </xf>
    <xf numFmtId="0" fontId="4" fillId="5" borderId="6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left" vertical="top"/>
    </xf>
    <xf numFmtId="0" fontId="4" fillId="0" borderId="6" xfId="0" applyFont="1" applyBorder="1" applyAlignment="1">
      <alignment vertical="top" wrapText="1"/>
    </xf>
    <xf numFmtId="0" fontId="4" fillId="5" borderId="6" xfId="0" applyFont="1" applyFill="1" applyBorder="1" applyAlignment="1">
      <alignment horizontal="left" vertical="top" wrapText="1"/>
    </xf>
    <xf numFmtId="4" fontId="4" fillId="5" borderId="6" xfId="0" applyNumberFormat="1" applyFont="1" applyFill="1" applyBorder="1" applyAlignment="1">
      <alignment horizontal="right" vertical="top"/>
    </xf>
    <xf numFmtId="164" fontId="4" fillId="5" borderId="6" xfId="0" applyNumberFormat="1" applyFont="1" applyFill="1" applyBorder="1" applyAlignment="1">
      <alignment vertical="top"/>
    </xf>
    <xf numFmtId="3" fontId="4" fillId="5" borderId="6" xfId="0" applyNumberFormat="1" applyFont="1" applyFill="1" applyBorder="1" applyAlignment="1">
      <alignment vertical="top"/>
    </xf>
    <xf numFmtId="0" fontId="5" fillId="5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vertical="top"/>
    </xf>
    <xf numFmtId="0" fontId="4" fillId="5" borderId="0" xfId="0" applyFont="1" applyFill="1" applyAlignment="1">
      <alignment vertical="top"/>
    </xf>
    <xf numFmtId="0" fontId="5" fillId="0" borderId="6" xfId="0" applyFont="1" applyBorder="1" applyAlignment="1">
      <alignment horizontal="center" vertical="top" wrapText="1"/>
    </xf>
    <xf numFmtId="0" fontId="4" fillId="5" borderId="0" xfId="0" applyFont="1" applyFill="1" applyAlignment="1">
      <alignment horizontal="left" vertical="top"/>
    </xf>
    <xf numFmtId="0" fontId="4" fillId="5" borderId="6" xfId="0" applyFont="1" applyFill="1" applyBorder="1" applyAlignment="1">
      <alignment vertical="top"/>
    </xf>
    <xf numFmtId="0" fontId="4" fillId="0" borderId="6" xfId="0" applyFont="1" applyBorder="1" applyAlignment="1">
      <alignment horizontal="center" vertical="top" wrapText="1"/>
    </xf>
    <xf numFmtId="49" fontId="6" fillId="2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Data%20Penelitian%20-%20Staffs%20Activities,%20Research%20Funded%20by%20Internal%20&amp;%20External%20(1).xlsx" TargetMode="External"/><Relationship Id="rId2" Type="http://schemas.openxmlformats.org/officeDocument/2006/relationships/externalLinkPath" Target="/Users/mindra/Downloads/Data%20Penelitian%20-%20Staffs%20Activities,%20Research%20Funded%20by%20Internal%20&amp;%20External%20(1).xlsx" TargetMode="External"/><Relationship Id="rId1" Type="http://schemas.openxmlformats.org/officeDocument/2006/relationships/externalLinkPath" Target="/Users/mindra/Downloads/Data%20Penelitian%20-%20Staffs%20Activities,%20Research%20Funded%20by%20Internal%20&amp;%20Exter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5 Peneliti"/>
      <sheetName val="Dashboard"/>
      <sheetName val="Staffs Activities"/>
      <sheetName val="Research Funded by Internal"/>
      <sheetName val="Research Funded by External"/>
      <sheetName val="Example Activities"/>
      <sheetName val="Example Research"/>
    </sheetNames>
    <sheetDataSet>
      <sheetData sheetId="0"/>
      <sheetData sheetId="1"/>
      <sheetData sheetId="2"/>
      <sheetData sheetId="3">
        <row r="16">
          <cell r="E16" t="str">
            <v>Pengendalian Kualitas Pemberian Kredit pada Suatu Lembaga Keuangan Menggunakan Logika Fuzzy Metode Tsukamoto.</v>
          </cell>
        </row>
        <row r="17">
          <cell r="E17" t="str">
            <v>Triplot Analisis Korespondensi dan Korelasi untuk Menganalisis Asosiasi Data Multivariat dengan Skala Pengukuran Campuran.</v>
          </cell>
        </row>
        <row r="21">
          <cell r="E21" t="str">
            <v>Quality Improvement Oriented Research Menggunakan Model Statistika.</v>
          </cell>
        </row>
        <row r="22">
          <cell r="E22" t="str">
            <v>Model Optimisasi Portofolio Investasi Mean-VaR Berbasis Preferensi Toleransi Risiko Melibatkan Saham-Saham Yang Memiliki Volatilitas Asimetri.</v>
          </cell>
        </row>
        <row r="23">
          <cell r="E23" t="str">
            <v>Profil Ketahanan Ekonomi Kabupaten/Kota di Jawa barat Menggunakan K-Medoid Clustering Berbasis Jarak Dynamic Time Warping.</v>
          </cell>
        </row>
        <row r="24">
          <cell r="E24" t="str">
            <v>Model Minimasi Risiko Dengan Target Return Tertentu Dalam Portofolio Investasi Menggunakan Algoritma Genetika.</v>
          </cell>
        </row>
        <row r="25">
          <cell r="E25" t="str">
            <v>Metode Kategorisasi Berdasarkan Asosiasi Antar Variabel Multivariat Menggunakan Analisis Korespondensi, Komponen Utama dan Kluster.</v>
          </cell>
        </row>
        <row r="26">
          <cell r="E26" t="str">
            <v>Pemodelan Data Deret Waktu Berdasarkan Kalender Hijriyah Dengan Pendekatan Machine Learning.</v>
          </cell>
        </row>
        <row r="27">
          <cell r="E27" t="str">
            <v>Deteksi Ekspresi Wajah Pasien Secara Real Time Dengan Pendekatan Machine Learning.</v>
          </cell>
        </row>
        <row r="28">
          <cell r="E28" t="str">
            <v>Pengembangan Model Robust Spatio Temporal permasalahan sosial dan kesehatan masyarakat.</v>
          </cell>
        </row>
        <row r="29">
          <cell r="E29" t="str">
            <v>Generalized Linear Mixed Model Dan Machine Learning Untuk Pemodelan Kasus TB Paru Di Propinsi Jawa Barat.</v>
          </cell>
        </row>
        <row r="33">
          <cell r="E33" t="str">
            <v>Quality Improvement Oriented Research Menggunakan Model Statistika.</v>
          </cell>
        </row>
        <row r="34">
          <cell r="E34" t="str">
            <v>Model Black-Scholes untuk Penentuan Harga Opsi Beli dan Opsi Jual Menggunakan Time Series Berbasis Machine Learning.</v>
          </cell>
        </row>
        <row r="35">
          <cell r="E35" t="str">
            <v>Pengembangan Model Regresi Kuantil dalam Mengatasi Permasalahan Sosial di Masyarakat.</v>
          </cell>
        </row>
      </sheetData>
      <sheetData sheetId="4">
        <row r="10">
          <cell r="E10" t="str">
            <v>Pengembangan Aplikasi Peringatan Dini Berbagai Penyakit Menular Secara Simultan Berbasis Web.</v>
          </cell>
        </row>
        <row r="11">
          <cell r="E11" t="str">
            <v>TeDi (Teman Disabilitas): All in One Accessibility Mobile Application.</v>
          </cell>
        </row>
        <row r="15">
          <cell r="E15" t="str">
            <v>Model Penentuan Premi dan Cadangan Asuransi Untuk Pembiayaan Kerugian Akibat Bencana Berbasis Masyarakat dan Pemerintahan Lokal Serta Pengendaliannya.</v>
          </cell>
        </row>
        <row r="16">
          <cell r="E16" t="str">
            <v>Pengembangan Aplikasi Peringatan Dini Berbagai Penyakit Menular Secara Simultan Berbasis Web.</v>
          </cell>
        </row>
        <row r="17">
          <cell r="E17" t="str">
            <v>Pembentukan Model 3D CT-Scan Thorax Covid-19 Dengan Pendekatan Machine Learning.</v>
          </cell>
        </row>
        <row r="18">
          <cell r="E18" t="str">
            <v>Developing Employee Turnover Forecast Tool For Human Resource Management By Measuring Employees Wellbeing Gap Expectations.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wmUjUkUM0QBuiTVhLiiXJn0NFEHeqeS/view?usp=sharing" TargetMode="External"/><Relationship Id="rId13" Type="http://schemas.openxmlformats.org/officeDocument/2006/relationships/hyperlink" Target="https://drive.google.com/file/d/15AlRfbY_0-15zejBNfxVCxep32kh2P-o/view?usp=sharing" TargetMode="External"/><Relationship Id="rId18" Type="http://schemas.openxmlformats.org/officeDocument/2006/relationships/hyperlink" Target="https://drive.google.com/file/d/1YED_zGSuDOOO76b7c3Cx-zLOdFFVk4UV/view?usp=sharing" TargetMode="External"/><Relationship Id="rId3" Type="http://schemas.openxmlformats.org/officeDocument/2006/relationships/hyperlink" Target="https://drive.google.com/file/d/14SrTQfnghXNY3LyH1FVeBnSoi7KeY45A/view" TargetMode="External"/><Relationship Id="rId21" Type="http://schemas.openxmlformats.org/officeDocument/2006/relationships/hyperlink" Target="https://drive.google.com/file/d/1k_I5l-7sBQlITtveKSJIMO95-pENDjHH/view?usp=sharing" TargetMode="External"/><Relationship Id="rId7" Type="http://schemas.openxmlformats.org/officeDocument/2006/relationships/hyperlink" Target="https://drive.google.com/file/d/1nLptIqYr5vsStBTuJyRhIT3HF1KnYCfs/view?usp=sharing" TargetMode="External"/><Relationship Id="rId12" Type="http://schemas.openxmlformats.org/officeDocument/2006/relationships/hyperlink" Target="https://drive.google.com/file/d/1B6b6_AOebG_IOyUN8c8MgvTQLFut-72P/view?usp=sharing" TargetMode="External"/><Relationship Id="rId17" Type="http://schemas.openxmlformats.org/officeDocument/2006/relationships/hyperlink" Target="https://drive.google.com/file/d/1_bz3xyD2YGW3LY3XbmfCh-pnuJbb-Rsr/view?usp=sharing" TargetMode="External"/><Relationship Id="rId2" Type="http://schemas.openxmlformats.org/officeDocument/2006/relationships/hyperlink" Target="https://drive.google.com/file/d/1_PBf_Be9rx7g37w8GYpTq8WogA5CLRS-/view" TargetMode="External"/><Relationship Id="rId16" Type="http://schemas.openxmlformats.org/officeDocument/2006/relationships/hyperlink" Target="https://drive.google.com/file/d/1ngij6Kk2nOdOuGS2ncGr4Wh1L5wjbTKI/view?usp=sharing" TargetMode="External"/><Relationship Id="rId20" Type="http://schemas.openxmlformats.org/officeDocument/2006/relationships/hyperlink" Target="https://drive.google.com/file/d/1rtqTc2TSrs3Hr13vnUDf-yiMcHJr01Tn/view?usp=sharing" TargetMode="External"/><Relationship Id="rId1" Type="http://schemas.openxmlformats.org/officeDocument/2006/relationships/hyperlink" Target="https://drive.google.com/file/d/1XVZ3e3KNpqlJpHnO1kYXwzVvHvTnxg0L/view" TargetMode="External"/><Relationship Id="rId6" Type="http://schemas.openxmlformats.org/officeDocument/2006/relationships/hyperlink" Target="https://drive.google.com/file/d/1thiK06bodKl8ZdLGa1QtchoYznTwkmET/view?usp=sharing" TargetMode="External"/><Relationship Id="rId11" Type="http://schemas.openxmlformats.org/officeDocument/2006/relationships/hyperlink" Target="https://drive.google.com/file/d/1KPBpsZpRzD9rVFvlSc3HKLJkf7Acj04d/view?usp=sharing" TargetMode="External"/><Relationship Id="rId24" Type="http://schemas.openxmlformats.org/officeDocument/2006/relationships/hyperlink" Target="https://drive.google.com/file/d/1AK7E06J_pI1zuWKrAJCjuiCbq980ntRE/view?usp=sharing" TargetMode="External"/><Relationship Id="rId5" Type="http://schemas.openxmlformats.org/officeDocument/2006/relationships/hyperlink" Target="https://drive.google.com/file/d/11HTN8F7jOsfV2_ZwuMxmnuDIcVZ8vxZ1/view?usp=sharing" TargetMode="External"/><Relationship Id="rId15" Type="http://schemas.openxmlformats.org/officeDocument/2006/relationships/hyperlink" Target="https://drive.google.com/file/d/1LcN76SC_H5ljnUIlLsjRopqOa79rc7D4/view?usp=sharing" TargetMode="External"/><Relationship Id="rId23" Type="http://schemas.openxmlformats.org/officeDocument/2006/relationships/hyperlink" Target="https://drive.google.com/file/d/1ARiqPHRagqQ4pgfLWqXN9dcqSsjYZK0m/view?usp=sharing" TargetMode="External"/><Relationship Id="rId10" Type="http://schemas.openxmlformats.org/officeDocument/2006/relationships/hyperlink" Target="https://drive.google.com/file/d/1KFrnbgdUSd7M27OV4qOotkEtEigb5Qxo/view?usp=sharing" TargetMode="External"/><Relationship Id="rId19" Type="http://schemas.openxmlformats.org/officeDocument/2006/relationships/hyperlink" Target="https://drive.google.com/file/d/1IElMIAbSD8mIi1YF3jMTGmWnpavabX2d/view?usp=sharing" TargetMode="External"/><Relationship Id="rId4" Type="http://schemas.openxmlformats.org/officeDocument/2006/relationships/hyperlink" Target="https://drive.google.com/file/d/1OySO82BmmfRugiukLA3eBDw2yW6QMfP6/view" TargetMode="External"/><Relationship Id="rId9" Type="http://schemas.openxmlformats.org/officeDocument/2006/relationships/hyperlink" Target="https://drive.google.com/file/d/12oZiqPo-h4H4FS-OcqdaNZHFFSgEhRdB/view?usp=sharing" TargetMode="External"/><Relationship Id="rId14" Type="http://schemas.openxmlformats.org/officeDocument/2006/relationships/hyperlink" Target="https://drive.google.com/file/d/1SCeKi0OsHTNSYXa7_w_alEaaquzZLaS6/view?usp=sharing" TargetMode="External"/><Relationship Id="rId22" Type="http://schemas.openxmlformats.org/officeDocument/2006/relationships/hyperlink" Target="https://drive.google.com/file/d/1pbrx6fuT3DP_ViOZ7FbHdztTmxuzBiE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61C9-77DE-B74D-A984-B408A7B61AA6}">
  <dimension ref="A1:N59"/>
  <sheetViews>
    <sheetView tabSelected="1" topLeftCell="A33" workbookViewId="0">
      <selection activeCell="D49" sqref="D49"/>
    </sheetView>
  </sheetViews>
  <sheetFormatPr baseColWidth="10" defaultColWidth="12.6640625" defaultRowHeight="16" x14ac:dyDescent="0.2"/>
  <cols>
    <col min="1" max="1" width="1.33203125" customWidth="1"/>
    <col min="2" max="2" width="9.5" customWidth="1"/>
    <col min="3" max="3" width="8.1640625" customWidth="1"/>
    <col min="4" max="4" width="40.6640625" customWidth="1"/>
    <col min="5" max="5" width="47" customWidth="1"/>
    <col min="6" max="6" width="19.6640625" customWidth="1"/>
    <col min="7" max="7" width="22" customWidth="1"/>
    <col min="8" max="8" width="12.83203125" customWidth="1"/>
    <col min="12" max="12" width="10.1640625" customWidth="1"/>
    <col min="13" max="13" width="14" customWidth="1"/>
    <col min="14" max="14" width="1.33203125" customWidth="1"/>
  </cols>
  <sheetData>
    <row r="1" spans="1:14" ht="26.2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/>
      <c r="K1" s="5"/>
      <c r="L1" s="3" t="s">
        <v>8</v>
      </c>
      <c r="M1" s="5"/>
      <c r="N1" s="6"/>
    </row>
    <row r="2" spans="1:14" ht="26.25" customHeight="1" x14ac:dyDescent="0.2">
      <c r="A2" s="7"/>
      <c r="B2" s="8"/>
      <c r="C2" s="8"/>
      <c r="D2" s="8"/>
      <c r="E2" s="8"/>
      <c r="F2" s="8"/>
      <c r="G2" s="8"/>
      <c r="H2" s="8"/>
      <c r="I2" s="9" t="s">
        <v>9</v>
      </c>
      <c r="J2" s="9" t="s">
        <v>10</v>
      </c>
      <c r="K2" s="9" t="s">
        <v>11</v>
      </c>
      <c r="L2" s="9" t="s">
        <v>9</v>
      </c>
      <c r="M2" s="9" t="s">
        <v>12</v>
      </c>
      <c r="N2" s="6"/>
    </row>
    <row r="3" spans="1:14" ht="26.25" customHeight="1" x14ac:dyDescent="0.2">
      <c r="A3" s="7"/>
      <c r="B3" s="10" t="s">
        <v>13</v>
      </c>
      <c r="C3" s="10" t="s">
        <v>13</v>
      </c>
      <c r="D3" s="10" t="s">
        <v>13</v>
      </c>
      <c r="E3" s="10" t="s">
        <v>13</v>
      </c>
      <c r="F3" s="10" t="s">
        <v>13</v>
      </c>
      <c r="G3" s="10" t="s">
        <v>13</v>
      </c>
      <c r="H3" s="10" t="s">
        <v>13</v>
      </c>
      <c r="I3" s="10" t="s">
        <v>13</v>
      </c>
      <c r="J3" s="10" t="s">
        <v>13</v>
      </c>
      <c r="K3" s="10" t="s">
        <v>13</v>
      </c>
      <c r="L3" s="11" t="s">
        <v>13</v>
      </c>
      <c r="M3" s="11" t="s">
        <v>13</v>
      </c>
      <c r="N3" s="6"/>
    </row>
    <row r="4" spans="1:14" ht="41.25" customHeight="1" x14ac:dyDescent="0.2">
      <c r="A4" s="12"/>
      <c r="B4" s="13" t="s">
        <v>14</v>
      </c>
      <c r="C4" s="14">
        <v>2022</v>
      </c>
      <c r="D4" s="15" t="s">
        <v>27</v>
      </c>
      <c r="E4" s="16" t="s">
        <v>15</v>
      </c>
      <c r="F4" s="17" t="s">
        <v>16</v>
      </c>
      <c r="G4" s="17"/>
      <c r="H4" s="15"/>
      <c r="I4" s="18">
        <v>25000000</v>
      </c>
      <c r="J4" s="19"/>
      <c r="K4" s="20"/>
      <c r="L4" s="21" t="str">
        <f>'[1]Research Funded by Internal'!E16</f>
        <v>Pengendalian Kualitas Pemberian Kredit pada Suatu Lembaga Keuangan Menggunakan Logika Fuzzy Metode Tsukamoto.</v>
      </c>
      <c r="M4" s="22"/>
      <c r="N4" s="23"/>
    </row>
    <row r="5" spans="1:14" ht="41.25" customHeight="1" x14ac:dyDescent="0.2">
      <c r="A5" s="12"/>
      <c r="B5" s="13" t="s">
        <v>17</v>
      </c>
      <c r="C5" s="14">
        <v>2022</v>
      </c>
      <c r="D5" s="15" t="s">
        <v>18</v>
      </c>
      <c r="E5" s="16" t="s">
        <v>19</v>
      </c>
      <c r="F5" s="17" t="s">
        <v>20</v>
      </c>
      <c r="G5" s="17"/>
      <c r="H5" s="15"/>
      <c r="I5" s="18">
        <v>40000000</v>
      </c>
      <c r="J5" s="19"/>
      <c r="K5" s="20"/>
      <c r="L5" s="21" t="str">
        <f>'[1]Research Funded by Internal'!E17</f>
        <v>Triplot Analisis Korespondensi dan Korelasi untuk Menganalisis Asosiasi Data Multivariat dengan Skala Pengukuran Campuran.</v>
      </c>
      <c r="M5" s="22"/>
      <c r="N5" s="23"/>
    </row>
    <row r="6" spans="1:14" ht="41.25" customHeight="1" x14ac:dyDescent="0.2">
      <c r="A6" s="12"/>
      <c r="B6" s="13" t="s">
        <v>21</v>
      </c>
      <c r="C6" s="14">
        <v>2022</v>
      </c>
      <c r="D6" s="15" t="s">
        <v>153</v>
      </c>
      <c r="E6" s="16" t="s">
        <v>22</v>
      </c>
      <c r="F6" s="17">
        <v>0</v>
      </c>
      <c r="G6" s="17"/>
      <c r="H6" s="15"/>
      <c r="I6" s="18">
        <v>0</v>
      </c>
      <c r="J6" s="19"/>
      <c r="K6" s="20"/>
      <c r="L6" s="21" t="str">
        <f>'[1]Research Funded by External'!E10</f>
        <v>Pengembangan Aplikasi Peringatan Dini Berbagai Penyakit Menular Secara Simultan Berbasis Web.</v>
      </c>
      <c r="M6" s="22"/>
      <c r="N6" s="23"/>
    </row>
    <row r="7" spans="1:14" ht="41.25" customHeight="1" x14ac:dyDescent="0.2">
      <c r="A7" s="12"/>
      <c r="B7" s="13" t="s">
        <v>23</v>
      </c>
      <c r="C7" s="14">
        <v>2022</v>
      </c>
      <c r="D7" s="15" t="s">
        <v>24</v>
      </c>
      <c r="E7" s="16" t="s">
        <v>25</v>
      </c>
      <c r="F7" s="17"/>
      <c r="G7" s="17"/>
      <c r="H7" s="15"/>
      <c r="I7" s="18">
        <v>0</v>
      </c>
      <c r="J7" s="19"/>
      <c r="K7" s="20"/>
      <c r="L7" s="21" t="str">
        <f>'[1]Research Funded by External'!E11</f>
        <v>TeDi (Teman Disabilitas): All in One Accessibility Mobile Application.</v>
      </c>
      <c r="M7" s="22"/>
      <c r="N7" s="23"/>
    </row>
    <row r="8" spans="1:14" ht="41.25" customHeight="1" x14ac:dyDescent="0.2">
      <c r="A8" s="12"/>
      <c r="B8" s="13" t="s">
        <v>26</v>
      </c>
      <c r="C8" s="14">
        <v>2023</v>
      </c>
      <c r="D8" s="15" t="s">
        <v>27</v>
      </c>
      <c r="E8" s="16" t="s">
        <v>28</v>
      </c>
      <c r="F8" s="17" t="s">
        <v>29</v>
      </c>
      <c r="G8" s="17"/>
      <c r="H8" s="15"/>
      <c r="I8" s="18">
        <v>100000000</v>
      </c>
      <c r="J8" s="19"/>
      <c r="K8" s="20"/>
      <c r="L8" s="21" t="str">
        <f>'[1]Research Funded by Internal'!E21</f>
        <v>Quality Improvement Oriented Research Menggunakan Model Statistika.</v>
      </c>
      <c r="M8" s="22"/>
      <c r="N8" s="23"/>
    </row>
    <row r="9" spans="1:14" ht="41.25" customHeight="1" x14ac:dyDescent="0.2">
      <c r="A9" s="12"/>
      <c r="B9" s="13" t="s">
        <v>30</v>
      </c>
      <c r="C9" s="14">
        <v>2023</v>
      </c>
      <c r="D9" s="15" t="s">
        <v>27</v>
      </c>
      <c r="E9" s="16" t="s">
        <v>31</v>
      </c>
      <c r="F9" s="17" t="s">
        <v>16</v>
      </c>
      <c r="G9" s="17"/>
      <c r="H9" s="15"/>
      <c r="I9" s="18">
        <v>25000000</v>
      </c>
      <c r="J9" s="19"/>
      <c r="K9" s="20"/>
      <c r="L9" s="21" t="str">
        <f>'[1]Research Funded by Internal'!E22</f>
        <v>Model Optimisasi Portofolio Investasi Mean-VaR Berbasis Preferensi Toleransi Risiko Melibatkan Saham-Saham Yang Memiliki Volatilitas Asimetri.</v>
      </c>
      <c r="M9" s="22"/>
      <c r="N9" s="23"/>
    </row>
    <row r="10" spans="1:14" ht="41.25" customHeight="1" x14ac:dyDescent="0.2">
      <c r="A10" s="12"/>
      <c r="B10" s="13" t="s">
        <v>32</v>
      </c>
      <c r="C10" s="14">
        <v>2023</v>
      </c>
      <c r="D10" s="15" t="s">
        <v>33</v>
      </c>
      <c r="E10" s="16" t="s">
        <v>34</v>
      </c>
      <c r="F10" s="17" t="s">
        <v>35</v>
      </c>
      <c r="G10" s="17"/>
      <c r="H10" s="15"/>
      <c r="I10" s="18">
        <v>42000000</v>
      </c>
      <c r="J10" s="19"/>
      <c r="K10" s="20"/>
      <c r="L10" s="21" t="str">
        <f>'[1]Research Funded by Internal'!E23</f>
        <v>Profil Ketahanan Ekonomi Kabupaten/Kota di Jawa barat Menggunakan K-Medoid Clustering Berbasis Jarak Dynamic Time Warping.</v>
      </c>
      <c r="M10" s="22"/>
      <c r="N10" s="23"/>
    </row>
    <row r="11" spans="1:14" ht="41.25" customHeight="1" x14ac:dyDescent="0.2">
      <c r="A11" s="12"/>
      <c r="B11" s="13" t="s">
        <v>36</v>
      </c>
      <c r="C11" s="14">
        <v>2023</v>
      </c>
      <c r="D11" s="15" t="s">
        <v>33</v>
      </c>
      <c r="E11" s="16" t="s">
        <v>37</v>
      </c>
      <c r="F11" s="17" t="s">
        <v>16</v>
      </c>
      <c r="G11" s="17"/>
      <c r="H11" s="15"/>
      <c r="I11" s="18">
        <v>25000000</v>
      </c>
      <c r="J11" s="19"/>
      <c r="K11" s="20"/>
      <c r="L11" s="21" t="str">
        <f>'[1]Research Funded by Internal'!E24</f>
        <v>Model Minimasi Risiko Dengan Target Return Tertentu Dalam Portofolio Investasi Menggunakan Algoritma Genetika.</v>
      </c>
      <c r="M11" s="22"/>
      <c r="N11" s="23"/>
    </row>
    <row r="12" spans="1:14" ht="41.25" customHeight="1" x14ac:dyDescent="0.2">
      <c r="A12" s="12"/>
      <c r="B12" s="13" t="s">
        <v>38</v>
      </c>
      <c r="C12" s="14">
        <v>2023</v>
      </c>
      <c r="D12" s="15" t="s">
        <v>39</v>
      </c>
      <c r="E12" s="16" t="s">
        <v>40</v>
      </c>
      <c r="F12" s="17" t="s">
        <v>35</v>
      </c>
      <c r="G12" s="17"/>
      <c r="H12" s="15"/>
      <c r="I12" s="18">
        <v>50000000</v>
      </c>
      <c r="J12" s="19"/>
      <c r="K12" s="20"/>
      <c r="L12" s="21" t="str">
        <f>'[1]Research Funded by Internal'!E25</f>
        <v>Metode Kategorisasi Berdasarkan Asosiasi Antar Variabel Multivariat Menggunakan Analisis Korespondensi, Komponen Utama dan Kluster.</v>
      </c>
      <c r="M12" s="22"/>
      <c r="N12" s="23"/>
    </row>
    <row r="13" spans="1:14" ht="41.25" customHeight="1" x14ac:dyDescent="0.2">
      <c r="A13" s="12"/>
      <c r="B13" s="13" t="s">
        <v>41</v>
      </c>
      <c r="C13" s="14">
        <v>2023</v>
      </c>
      <c r="D13" s="15" t="s">
        <v>42</v>
      </c>
      <c r="E13" s="16" t="s">
        <v>43</v>
      </c>
      <c r="F13" s="17" t="s">
        <v>20</v>
      </c>
      <c r="G13" s="17"/>
      <c r="H13" s="15"/>
      <c r="I13" s="18">
        <v>48200000</v>
      </c>
      <c r="J13" s="19"/>
      <c r="K13" s="20"/>
      <c r="L13" s="21" t="str">
        <f>'[1]Research Funded by Internal'!E26</f>
        <v>Pemodelan Data Deret Waktu Berdasarkan Kalender Hijriyah Dengan Pendekatan Machine Learning.</v>
      </c>
      <c r="M13" s="22"/>
      <c r="N13" s="23"/>
    </row>
    <row r="14" spans="1:14" ht="41.25" customHeight="1" x14ac:dyDescent="0.2">
      <c r="A14" s="12"/>
      <c r="B14" s="13" t="s">
        <v>44</v>
      </c>
      <c r="C14" s="14">
        <v>2023</v>
      </c>
      <c r="D14" s="15" t="s">
        <v>45</v>
      </c>
      <c r="E14" s="16" t="s">
        <v>46</v>
      </c>
      <c r="F14" s="17" t="s">
        <v>20</v>
      </c>
      <c r="G14" s="17"/>
      <c r="H14" s="15"/>
      <c r="I14" s="18">
        <v>48000000</v>
      </c>
      <c r="J14" s="19"/>
      <c r="K14" s="20"/>
      <c r="L14" s="21" t="str">
        <f>'[1]Research Funded by Internal'!E27</f>
        <v>Deteksi Ekspresi Wajah Pasien Secara Real Time Dengan Pendekatan Machine Learning.</v>
      </c>
      <c r="M14" s="22"/>
      <c r="N14" s="23"/>
    </row>
    <row r="15" spans="1:14" ht="41.25" customHeight="1" x14ac:dyDescent="0.2">
      <c r="A15" s="12"/>
      <c r="B15" s="13" t="s">
        <v>47</v>
      </c>
      <c r="C15" s="14">
        <v>2023</v>
      </c>
      <c r="D15" s="15" t="s">
        <v>48</v>
      </c>
      <c r="E15" s="16" t="s">
        <v>49</v>
      </c>
      <c r="F15" s="17" t="s">
        <v>20</v>
      </c>
      <c r="G15" s="17"/>
      <c r="H15" s="15"/>
      <c r="I15" s="18">
        <v>62000000</v>
      </c>
      <c r="J15" s="19"/>
      <c r="K15" s="20"/>
      <c r="L15" s="21" t="str">
        <f>'[1]Research Funded by Internal'!E28</f>
        <v>Pengembangan Model Robust Spatio Temporal permasalahan sosial dan kesehatan masyarakat.</v>
      </c>
      <c r="M15" s="22"/>
      <c r="N15" s="23"/>
    </row>
    <row r="16" spans="1:14" ht="41.25" customHeight="1" x14ac:dyDescent="0.2">
      <c r="A16" s="12"/>
      <c r="B16" s="13" t="s">
        <v>50</v>
      </c>
      <c r="C16" s="14">
        <v>2023</v>
      </c>
      <c r="D16" s="15" t="s">
        <v>51</v>
      </c>
      <c r="E16" s="16" t="s">
        <v>52</v>
      </c>
      <c r="F16" s="17" t="s">
        <v>20</v>
      </c>
      <c r="G16" s="17"/>
      <c r="H16" s="15"/>
      <c r="I16" s="18">
        <v>45750000</v>
      </c>
      <c r="J16" s="19"/>
      <c r="K16" s="20"/>
      <c r="L16" s="21" t="str">
        <f>'[1]Research Funded by Internal'!E29</f>
        <v>Generalized Linear Mixed Model Dan Machine Learning Untuk Pemodelan Kasus TB Paru Di Propinsi Jawa Barat.</v>
      </c>
      <c r="M16" s="22"/>
      <c r="N16" s="23"/>
    </row>
    <row r="17" spans="1:14" ht="41.25" customHeight="1" x14ac:dyDescent="0.2">
      <c r="A17" s="12"/>
      <c r="B17" s="13" t="s">
        <v>53</v>
      </c>
      <c r="C17" s="14">
        <v>2023</v>
      </c>
      <c r="D17" s="15" t="s">
        <v>33</v>
      </c>
      <c r="E17" s="16" t="s">
        <v>54</v>
      </c>
      <c r="F17" s="17">
        <v>0</v>
      </c>
      <c r="G17" s="17"/>
      <c r="H17" s="15"/>
      <c r="I17" s="18">
        <v>100200000</v>
      </c>
      <c r="J17" s="19"/>
      <c r="K17" s="20"/>
      <c r="L17" s="21" t="str">
        <f>'[1]Research Funded by External'!E15</f>
        <v>Model Penentuan Premi dan Cadangan Asuransi Untuk Pembiayaan Kerugian Akibat Bencana Berbasis Masyarakat dan Pemerintahan Lokal Serta Pengendaliannya.</v>
      </c>
      <c r="M17" s="22"/>
      <c r="N17" s="23"/>
    </row>
    <row r="18" spans="1:14" ht="41.25" customHeight="1" x14ac:dyDescent="0.2">
      <c r="A18" s="12"/>
      <c r="B18" s="13" t="s">
        <v>55</v>
      </c>
      <c r="C18" s="14">
        <v>2023</v>
      </c>
      <c r="D18" s="15" t="s">
        <v>153</v>
      </c>
      <c r="E18" s="16" t="s">
        <v>22</v>
      </c>
      <c r="F18" s="17">
        <v>0</v>
      </c>
      <c r="G18" s="17"/>
      <c r="H18" s="15"/>
      <c r="I18" s="18">
        <v>59900000</v>
      </c>
      <c r="J18" s="19"/>
      <c r="K18" s="20"/>
      <c r="L18" s="21" t="str">
        <f>'[1]Research Funded by External'!E16</f>
        <v>Pengembangan Aplikasi Peringatan Dini Berbagai Penyakit Menular Secara Simultan Berbasis Web.</v>
      </c>
      <c r="M18" s="22"/>
      <c r="N18" s="23"/>
    </row>
    <row r="19" spans="1:14" ht="41.25" customHeight="1" x14ac:dyDescent="0.2">
      <c r="A19" s="12"/>
      <c r="B19" s="13" t="s">
        <v>56</v>
      </c>
      <c r="C19" s="14">
        <v>2023</v>
      </c>
      <c r="D19" s="15" t="s">
        <v>24</v>
      </c>
      <c r="E19" s="16" t="s">
        <v>57</v>
      </c>
      <c r="F19" s="17">
        <v>0</v>
      </c>
      <c r="G19" s="17"/>
      <c r="H19" s="15"/>
      <c r="I19" s="18">
        <v>78875000</v>
      </c>
      <c r="J19" s="19"/>
      <c r="K19" s="20"/>
      <c r="L19" s="21" t="str">
        <f>'[1]Research Funded by External'!E17</f>
        <v>Pembentukan Model 3D CT-Scan Thorax Covid-19 Dengan Pendekatan Machine Learning.</v>
      </c>
      <c r="M19" s="22"/>
      <c r="N19" s="23"/>
    </row>
    <row r="20" spans="1:14" ht="41.25" customHeight="1" x14ac:dyDescent="0.2">
      <c r="A20" s="12"/>
      <c r="B20" s="13" t="s">
        <v>58</v>
      </c>
      <c r="C20" s="14">
        <v>2023</v>
      </c>
      <c r="D20" s="15" t="s">
        <v>27</v>
      </c>
      <c r="E20" s="16" t="s">
        <v>59</v>
      </c>
      <c r="F20" s="17">
        <v>0</v>
      </c>
      <c r="G20" s="17"/>
      <c r="H20" s="15"/>
      <c r="I20" s="18">
        <v>695915000</v>
      </c>
      <c r="J20" s="19"/>
      <c r="K20" s="20"/>
      <c r="M20" s="21" t="str">
        <f>'[1]Research Funded by External'!E18</f>
        <v>Developing Employee Turnover Forecast Tool For Human Resource Management By Measuring Employees Wellbeing Gap Expectations.</v>
      </c>
      <c r="N20" s="23"/>
    </row>
    <row r="21" spans="1:14" ht="41.25" customHeight="1" x14ac:dyDescent="0.2">
      <c r="A21" s="12"/>
      <c r="B21" s="13" t="s">
        <v>60</v>
      </c>
      <c r="C21" s="14">
        <v>2024</v>
      </c>
      <c r="D21" s="15" t="s">
        <v>27</v>
      </c>
      <c r="E21" s="16" t="s">
        <v>28</v>
      </c>
      <c r="F21" s="17" t="s">
        <v>29</v>
      </c>
      <c r="G21" s="17"/>
      <c r="H21" s="15"/>
      <c r="I21" s="18">
        <v>100000000</v>
      </c>
      <c r="J21" s="19"/>
      <c r="K21" s="20"/>
      <c r="L21" s="21" t="str">
        <f>'[1]Research Funded by Internal'!E33</f>
        <v>Quality Improvement Oriented Research Menggunakan Model Statistika.</v>
      </c>
      <c r="M21" s="22"/>
      <c r="N21" s="23"/>
    </row>
    <row r="22" spans="1:14" ht="41.25" customHeight="1" x14ac:dyDescent="0.2">
      <c r="A22" s="12"/>
      <c r="B22" s="13" t="s">
        <v>61</v>
      </c>
      <c r="C22" s="14">
        <v>2024</v>
      </c>
      <c r="D22" s="15" t="s">
        <v>27</v>
      </c>
      <c r="E22" s="16" t="s">
        <v>62</v>
      </c>
      <c r="F22" s="17" t="s">
        <v>16</v>
      </c>
      <c r="G22" s="17"/>
      <c r="H22" s="15"/>
      <c r="I22" s="18">
        <v>15000000</v>
      </c>
      <c r="J22" s="19"/>
      <c r="K22" s="20"/>
      <c r="L22" s="21" t="str">
        <f>'[1]Research Funded by Internal'!E34</f>
        <v>Model Black-Scholes untuk Penentuan Harga Opsi Beli dan Opsi Jual Menggunakan Time Series Berbasis Machine Learning.</v>
      </c>
      <c r="M22" s="22"/>
      <c r="N22" s="23"/>
    </row>
    <row r="23" spans="1:14" ht="41.25" customHeight="1" x14ac:dyDescent="0.2">
      <c r="A23" s="12"/>
      <c r="B23" s="13" t="s">
        <v>63</v>
      </c>
      <c r="C23" s="14">
        <v>2024</v>
      </c>
      <c r="D23" s="15" t="s">
        <v>48</v>
      </c>
      <c r="E23" s="16" t="s">
        <v>64</v>
      </c>
      <c r="F23" s="17" t="s">
        <v>16</v>
      </c>
      <c r="G23" s="17"/>
      <c r="H23" s="15"/>
      <c r="I23" s="18">
        <v>15000000</v>
      </c>
      <c r="J23" s="19"/>
      <c r="K23" s="20"/>
      <c r="L23" s="21" t="str">
        <f>'[1]Research Funded by Internal'!E35</f>
        <v>Pengembangan Model Regresi Kuantil dalam Mengatasi Permasalahan Sosial di Masyarakat.</v>
      </c>
      <c r="M23" s="22"/>
      <c r="N23" s="23"/>
    </row>
    <row r="24" spans="1:14" ht="41.25" customHeight="1" x14ac:dyDescent="0.2">
      <c r="A24" s="12"/>
      <c r="B24" s="13" t="s">
        <v>65</v>
      </c>
      <c r="C24" s="14">
        <v>2024</v>
      </c>
      <c r="D24" s="15" t="s">
        <v>39</v>
      </c>
      <c r="E24" s="16" t="s">
        <v>40</v>
      </c>
      <c r="F24" s="17" t="s">
        <v>35</v>
      </c>
      <c r="G24" s="17"/>
      <c r="H24" s="15"/>
      <c r="I24" s="18">
        <v>68875000</v>
      </c>
      <c r="J24" s="19"/>
      <c r="K24" s="20"/>
      <c r="L24" s="21" t="s">
        <v>66</v>
      </c>
      <c r="M24" s="22"/>
      <c r="N24" s="23"/>
    </row>
    <row r="25" spans="1:14" ht="41.25" customHeight="1" x14ac:dyDescent="0.2">
      <c r="A25" s="12"/>
      <c r="B25" s="13" t="s">
        <v>67</v>
      </c>
      <c r="C25" s="14">
        <v>2024</v>
      </c>
      <c r="D25" s="15" t="s">
        <v>68</v>
      </c>
      <c r="E25" s="16" t="s">
        <v>69</v>
      </c>
      <c r="F25" s="17" t="s">
        <v>16</v>
      </c>
      <c r="G25" s="17"/>
      <c r="H25" s="15"/>
      <c r="I25" s="18">
        <v>15000000</v>
      </c>
      <c r="J25" s="19"/>
      <c r="K25" s="20"/>
      <c r="L25" s="21" t="s">
        <v>66</v>
      </c>
      <c r="M25" s="22"/>
      <c r="N25" s="23"/>
    </row>
    <row r="26" spans="1:14" ht="41.25" customHeight="1" x14ac:dyDescent="0.2">
      <c r="A26" s="12"/>
      <c r="B26" s="13" t="s">
        <v>70</v>
      </c>
      <c r="C26" s="14">
        <v>2024</v>
      </c>
      <c r="D26" s="15" t="s">
        <v>71</v>
      </c>
      <c r="E26" s="16" t="s">
        <v>72</v>
      </c>
      <c r="F26" s="17" t="s">
        <v>35</v>
      </c>
      <c r="G26" s="17"/>
      <c r="H26" s="15"/>
      <c r="I26" s="18">
        <v>68600000</v>
      </c>
      <c r="J26" s="19"/>
      <c r="K26" s="20"/>
      <c r="L26" s="21" t="s">
        <v>66</v>
      </c>
      <c r="M26" s="22"/>
      <c r="N26" s="23"/>
    </row>
    <row r="27" spans="1:14" ht="41.25" customHeight="1" x14ac:dyDescent="0.2">
      <c r="A27" s="12"/>
      <c r="B27" s="13" t="s">
        <v>73</v>
      </c>
      <c r="C27" s="14">
        <v>2024</v>
      </c>
      <c r="D27" s="15" t="s">
        <v>71</v>
      </c>
      <c r="E27" s="16" t="s">
        <v>74</v>
      </c>
      <c r="F27" s="17" t="s">
        <v>16</v>
      </c>
      <c r="G27" s="17"/>
      <c r="H27" s="15"/>
      <c r="I27" s="18">
        <v>15000000</v>
      </c>
      <c r="J27" s="19"/>
      <c r="K27" s="20"/>
      <c r="L27" s="21" t="s">
        <v>66</v>
      </c>
      <c r="M27" s="22"/>
      <c r="N27" s="23"/>
    </row>
    <row r="28" spans="1:14" ht="41.25" customHeight="1" x14ac:dyDescent="0.2">
      <c r="A28" s="12"/>
      <c r="B28" s="13" t="s">
        <v>75</v>
      </c>
      <c r="C28" s="14">
        <v>2025</v>
      </c>
      <c r="D28" s="13" t="s">
        <v>48</v>
      </c>
      <c r="E28" s="17" t="s">
        <v>76</v>
      </c>
      <c r="F28" s="17" t="s">
        <v>77</v>
      </c>
      <c r="G28" s="17" t="s">
        <v>78</v>
      </c>
      <c r="H28" s="17" t="s">
        <v>79</v>
      </c>
      <c r="I28" s="18">
        <v>93020000</v>
      </c>
      <c r="J28" s="19"/>
      <c r="K28" s="20"/>
      <c r="L28" s="24" t="s">
        <v>66</v>
      </c>
      <c r="M28" s="22"/>
      <c r="N28" s="23"/>
    </row>
    <row r="29" spans="1:14" ht="41.25" customHeight="1" x14ac:dyDescent="0.2">
      <c r="A29" s="12"/>
      <c r="B29" s="13" t="s">
        <v>80</v>
      </c>
      <c r="C29" s="14">
        <v>2025</v>
      </c>
      <c r="D29" s="13" t="s">
        <v>51</v>
      </c>
      <c r="E29" s="17" t="s">
        <v>81</v>
      </c>
      <c r="F29" s="17" t="s">
        <v>82</v>
      </c>
      <c r="G29" s="17" t="s">
        <v>83</v>
      </c>
      <c r="H29" s="17" t="s">
        <v>84</v>
      </c>
      <c r="I29" s="18">
        <v>25000000</v>
      </c>
      <c r="J29" s="19"/>
      <c r="K29" s="20"/>
      <c r="L29" s="24" t="s">
        <v>66</v>
      </c>
      <c r="M29" s="22"/>
      <c r="N29" s="23"/>
    </row>
    <row r="30" spans="1:14" ht="41.25" customHeight="1" x14ac:dyDescent="0.2">
      <c r="A30" s="12"/>
      <c r="B30" s="13" t="s">
        <v>85</v>
      </c>
      <c r="C30" s="14">
        <v>2025</v>
      </c>
      <c r="D30" s="13" t="s">
        <v>153</v>
      </c>
      <c r="E30" s="17" t="s">
        <v>86</v>
      </c>
      <c r="F30" s="17" t="s">
        <v>82</v>
      </c>
      <c r="G30" s="17" t="s">
        <v>87</v>
      </c>
      <c r="H30" s="17" t="s">
        <v>84</v>
      </c>
      <c r="I30" s="18">
        <v>25000000</v>
      </c>
      <c r="J30" s="19"/>
      <c r="K30" s="20"/>
      <c r="L30" s="24" t="s">
        <v>66</v>
      </c>
      <c r="M30" s="22"/>
      <c r="N30" s="23"/>
    </row>
    <row r="31" spans="1:14" ht="41.25" customHeight="1" x14ac:dyDescent="0.2">
      <c r="A31" s="12"/>
      <c r="B31" s="13" t="s">
        <v>88</v>
      </c>
      <c r="C31" s="14">
        <v>2025</v>
      </c>
      <c r="D31" s="13" t="s">
        <v>39</v>
      </c>
      <c r="E31" s="17" t="s">
        <v>89</v>
      </c>
      <c r="F31" s="17" t="s">
        <v>82</v>
      </c>
      <c r="G31" s="17" t="s">
        <v>90</v>
      </c>
      <c r="H31" s="17" t="s">
        <v>84</v>
      </c>
      <c r="I31" s="18">
        <v>25000000</v>
      </c>
      <c r="J31" s="19"/>
      <c r="K31" s="20"/>
      <c r="L31" s="24" t="s">
        <v>66</v>
      </c>
      <c r="M31" s="22"/>
      <c r="N31" s="23"/>
    </row>
    <row r="32" spans="1:14" ht="41.25" customHeight="1" x14ac:dyDescent="0.2">
      <c r="A32" s="12"/>
      <c r="B32" s="13" t="s">
        <v>91</v>
      </c>
      <c r="C32" s="14">
        <v>2025</v>
      </c>
      <c r="D32" s="13" t="s">
        <v>45</v>
      </c>
      <c r="E32" s="17" t="s">
        <v>92</v>
      </c>
      <c r="F32" s="17" t="s">
        <v>82</v>
      </c>
      <c r="G32" s="17" t="s">
        <v>93</v>
      </c>
      <c r="H32" s="17" t="s">
        <v>84</v>
      </c>
      <c r="I32" s="18">
        <v>25000000</v>
      </c>
      <c r="J32" s="19"/>
      <c r="K32" s="20"/>
      <c r="L32" s="24" t="s">
        <v>66</v>
      </c>
      <c r="M32" s="22"/>
      <c r="N32" s="23"/>
    </row>
    <row r="33" spans="1:14" ht="41.25" customHeight="1" x14ac:dyDescent="0.2">
      <c r="A33" s="12"/>
      <c r="B33" s="13" t="s">
        <v>94</v>
      </c>
      <c r="C33" s="14">
        <v>2025</v>
      </c>
      <c r="D33" s="13" t="s">
        <v>68</v>
      </c>
      <c r="E33" s="17" t="s">
        <v>95</v>
      </c>
      <c r="F33" s="17" t="s">
        <v>96</v>
      </c>
      <c r="G33" s="17" t="s">
        <v>97</v>
      </c>
      <c r="H33" s="17" t="s">
        <v>84</v>
      </c>
      <c r="I33" s="18">
        <v>101000000</v>
      </c>
      <c r="J33" s="19"/>
      <c r="K33" s="20"/>
      <c r="L33" s="24" t="s">
        <v>66</v>
      </c>
      <c r="M33" s="22"/>
      <c r="N33" s="23"/>
    </row>
    <row r="34" spans="1:14" ht="41.25" customHeight="1" x14ac:dyDescent="0.2">
      <c r="A34" s="12"/>
      <c r="B34" s="13" t="s">
        <v>98</v>
      </c>
      <c r="C34" s="14">
        <v>2025</v>
      </c>
      <c r="D34" s="13" t="s">
        <v>99</v>
      </c>
      <c r="E34" s="17" t="s">
        <v>100</v>
      </c>
      <c r="F34" s="17" t="s">
        <v>101</v>
      </c>
      <c r="G34" s="17" t="s">
        <v>102</v>
      </c>
      <c r="H34" s="17" t="s">
        <v>84</v>
      </c>
      <c r="I34" s="18">
        <v>15000000</v>
      </c>
      <c r="J34" s="19"/>
      <c r="K34" s="20"/>
      <c r="L34" s="24" t="s">
        <v>66</v>
      </c>
      <c r="M34" s="22"/>
      <c r="N34" s="23"/>
    </row>
    <row r="35" spans="1:14" ht="41.25" customHeight="1" x14ac:dyDescent="0.2">
      <c r="A35" s="12"/>
      <c r="B35" s="13" t="s">
        <v>103</v>
      </c>
      <c r="C35" s="14">
        <v>2025</v>
      </c>
      <c r="D35" s="15" t="s">
        <v>104</v>
      </c>
      <c r="E35" s="17" t="s">
        <v>105</v>
      </c>
      <c r="F35" s="17" t="s">
        <v>101</v>
      </c>
      <c r="G35" s="17" t="s">
        <v>106</v>
      </c>
      <c r="H35" s="17" t="s">
        <v>84</v>
      </c>
      <c r="I35" s="18">
        <v>15000000</v>
      </c>
      <c r="J35" s="19"/>
      <c r="K35" s="20"/>
      <c r="L35" s="24" t="s">
        <v>66</v>
      </c>
      <c r="M35" s="22"/>
      <c r="N35" s="23"/>
    </row>
    <row r="36" spans="1:14" ht="41.25" customHeight="1" x14ac:dyDescent="0.2">
      <c r="A36" s="12"/>
      <c r="B36" s="13" t="s">
        <v>107</v>
      </c>
      <c r="C36" s="14">
        <v>2025</v>
      </c>
      <c r="D36" s="15" t="s">
        <v>108</v>
      </c>
      <c r="E36" s="17" t="s">
        <v>109</v>
      </c>
      <c r="F36" s="17" t="s">
        <v>110</v>
      </c>
      <c r="G36" s="17" t="s">
        <v>111</v>
      </c>
      <c r="H36" s="17" t="s">
        <v>84</v>
      </c>
      <c r="I36" s="18">
        <v>10000000</v>
      </c>
      <c r="J36" s="19"/>
      <c r="K36" s="20"/>
      <c r="L36" s="24" t="s">
        <v>66</v>
      </c>
      <c r="M36" s="22"/>
      <c r="N36" s="23"/>
    </row>
    <row r="37" spans="1:14" ht="41.25" customHeight="1" x14ac:dyDescent="0.2">
      <c r="A37" s="12"/>
      <c r="B37" s="13" t="s">
        <v>112</v>
      </c>
      <c r="C37" s="14">
        <v>2025</v>
      </c>
      <c r="D37" s="15" t="s">
        <v>51</v>
      </c>
      <c r="E37" s="17" t="s">
        <v>113</v>
      </c>
      <c r="F37" s="17" t="s">
        <v>110</v>
      </c>
      <c r="G37" s="17" t="s">
        <v>114</v>
      </c>
      <c r="H37" s="17" t="s">
        <v>84</v>
      </c>
      <c r="I37" s="18">
        <v>10000000</v>
      </c>
      <c r="J37" s="19"/>
      <c r="K37" s="20"/>
      <c r="L37" s="24" t="s">
        <v>66</v>
      </c>
      <c r="M37" s="22"/>
      <c r="N37" s="23"/>
    </row>
    <row r="38" spans="1:14" ht="41.25" customHeight="1" x14ac:dyDescent="0.2">
      <c r="A38" s="12"/>
      <c r="B38" s="13" t="s">
        <v>115</v>
      </c>
      <c r="C38" s="14">
        <v>2025</v>
      </c>
      <c r="D38" s="13" t="s">
        <v>48</v>
      </c>
      <c r="E38" s="17" t="s">
        <v>116</v>
      </c>
      <c r="F38" s="17" t="s">
        <v>117</v>
      </c>
      <c r="G38" s="17" t="s">
        <v>118</v>
      </c>
      <c r="H38" s="17" t="s">
        <v>84</v>
      </c>
      <c r="I38" s="18">
        <v>60000000</v>
      </c>
      <c r="J38" s="19"/>
      <c r="K38" s="20"/>
      <c r="L38" s="24" t="s">
        <v>66</v>
      </c>
      <c r="M38" s="22"/>
      <c r="N38" s="23"/>
    </row>
    <row r="39" spans="1:14" ht="41.25" customHeight="1" x14ac:dyDescent="0.2">
      <c r="A39" s="12"/>
      <c r="B39" s="13" t="s">
        <v>119</v>
      </c>
      <c r="C39" s="14">
        <v>2025</v>
      </c>
      <c r="D39" s="13" t="s">
        <v>48</v>
      </c>
      <c r="E39" s="17" t="s">
        <v>120</v>
      </c>
      <c r="F39" s="17" t="s">
        <v>121</v>
      </c>
      <c r="G39" s="17" t="s">
        <v>122</v>
      </c>
      <c r="H39" s="17" t="s">
        <v>84</v>
      </c>
      <c r="I39" s="18">
        <v>60000000</v>
      </c>
      <c r="J39" s="19"/>
      <c r="K39" s="20"/>
      <c r="L39" s="24" t="s">
        <v>66</v>
      </c>
      <c r="M39" s="22"/>
      <c r="N39" s="23"/>
    </row>
    <row r="40" spans="1:14" ht="41.25" customHeight="1" x14ac:dyDescent="0.2">
      <c r="A40" s="12"/>
      <c r="B40" s="13" t="s">
        <v>123</v>
      </c>
      <c r="C40" s="14">
        <v>2025</v>
      </c>
      <c r="D40" s="15" t="s">
        <v>68</v>
      </c>
      <c r="E40" s="17" t="s">
        <v>124</v>
      </c>
      <c r="F40" s="17" t="s">
        <v>125</v>
      </c>
      <c r="G40" s="17" t="s">
        <v>126</v>
      </c>
      <c r="H40" s="17" t="s">
        <v>84</v>
      </c>
      <c r="I40" s="18">
        <v>105000000</v>
      </c>
      <c r="J40" s="19"/>
      <c r="K40" s="20"/>
      <c r="L40" s="24" t="s">
        <v>66</v>
      </c>
      <c r="M40" s="22"/>
      <c r="N40" s="23"/>
    </row>
    <row r="41" spans="1:14" ht="41.25" customHeight="1" x14ac:dyDescent="0.2">
      <c r="A41" s="12"/>
      <c r="B41" s="13" t="s">
        <v>127</v>
      </c>
      <c r="C41" s="14">
        <v>2025</v>
      </c>
      <c r="D41" s="15" t="s">
        <v>42</v>
      </c>
      <c r="E41" s="17" t="s">
        <v>128</v>
      </c>
      <c r="F41" s="17" t="s">
        <v>35</v>
      </c>
      <c r="G41" s="17" t="s">
        <v>129</v>
      </c>
      <c r="H41" s="17" t="s">
        <v>84</v>
      </c>
      <c r="I41" s="18">
        <v>70000000</v>
      </c>
      <c r="J41" s="19"/>
      <c r="K41" s="20"/>
      <c r="L41" s="24" t="s">
        <v>66</v>
      </c>
      <c r="M41" s="22"/>
      <c r="N41" s="23"/>
    </row>
    <row r="42" spans="1:14" ht="41.25" customHeight="1" x14ac:dyDescent="0.2">
      <c r="A42" s="12"/>
      <c r="B42" s="13" t="s">
        <v>130</v>
      </c>
      <c r="C42" s="14">
        <v>2025</v>
      </c>
      <c r="D42" s="15" t="s">
        <v>27</v>
      </c>
      <c r="E42" s="17" t="s">
        <v>131</v>
      </c>
      <c r="F42" s="17" t="s">
        <v>35</v>
      </c>
      <c r="G42" s="17" t="s">
        <v>132</v>
      </c>
      <c r="H42" s="17" t="s">
        <v>84</v>
      </c>
      <c r="I42" s="18">
        <v>65000000</v>
      </c>
      <c r="J42" s="19"/>
      <c r="K42" s="20"/>
      <c r="L42" s="24" t="s">
        <v>66</v>
      </c>
      <c r="M42" s="22"/>
      <c r="N42" s="23"/>
    </row>
    <row r="43" spans="1:14" ht="41.25" customHeight="1" x14ac:dyDescent="0.2">
      <c r="A43" s="12"/>
      <c r="B43" s="13" t="s">
        <v>133</v>
      </c>
      <c r="C43" s="14">
        <v>2025</v>
      </c>
      <c r="D43" s="15" t="s">
        <v>24</v>
      </c>
      <c r="E43" s="17" t="s">
        <v>134</v>
      </c>
      <c r="F43" s="17" t="s">
        <v>35</v>
      </c>
      <c r="G43" s="17" t="s">
        <v>135</v>
      </c>
      <c r="H43" s="17" t="s">
        <v>84</v>
      </c>
      <c r="I43" s="18">
        <v>70000000</v>
      </c>
      <c r="J43" s="19"/>
      <c r="K43" s="20"/>
      <c r="L43" s="24" t="s">
        <v>66</v>
      </c>
      <c r="M43" s="22"/>
      <c r="N43" s="23"/>
    </row>
    <row r="44" spans="1:14" ht="41.25" customHeight="1" x14ac:dyDescent="0.2">
      <c r="A44" s="12"/>
      <c r="B44" s="13" t="s">
        <v>136</v>
      </c>
      <c r="C44" s="14">
        <v>2025</v>
      </c>
      <c r="D44" s="15" t="s">
        <v>156</v>
      </c>
      <c r="E44" s="17" t="s">
        <v>137</v>
      </c>
      <c r="F44" s="17" t="s">
        <v>35</v>
      </c>
      <c r="G44" s="17" t="s">
        <v>138</v>
      </c>
      <c r="H44" s="17" t="s">
        <v>84</v>
      </c>
      <c r="I44" s="18">
        <v>70000000</v>
      </c>
      <c r="J44" s="19"/>
      <c r="K44" s="20"/>
      <c r="L44" s="24" t="s">
        <v>66</v>
      </c>
      <c r="M44" s="22"/>
      <c r="N44" s="23"/>
    </row>
    <row r="45" spans="1:14" ht="41.25" customHeight="1" x14ac:dyDescent="0.2">
      <c r="A45" s="12"/>
      <c r="B45" s="13" t="s">
        <v>139</v>
      </c>
      <c r="C45" s="14">
        <v>2026</v>
      </c>
      <c r="D45" s="25" t="s">
        <v>140</v>
      </c>
      <c r="E45" s="17" t="s">
        <v>141</v>
      </c>
      <c r="F45" s="15" t="s">
        <v>142</v>
      </c>
      <c r="G45" s="15" t="s">
        <v>143</v>
      </c>
      <c r="H45" s="17" t="s">
        <v>84</v>
      </c>
      <c r="I45" s="18">
        <v>7000000</v>
      </c>
      <c r="J45" s="19"/>
      <c r="K45" s="26"/>
      <c r="L45" s="27" t="s">
        <v>66</v>
      </c>
      <c r="M45" s="22"/>
      <c r="N45" s="23"/>
    </row>
    <row r="46" spans="1:14" ht="41.25" customHeight="1" x14ac:dyDescent="0.2">
      <c r="A46" s="12"/>
      <c r="B46" s="13" t="s">
        <v>144</v>
      </c>
      <c r="C46" s="14">
        <v>2026</v>
      </c>
      <c r="D46" s="15" t="s">
        <v>145</v>
      </c>
      <c r="E46" s="17" t="s">
        <v>146</v>
      </c>
      <c r="F46" s="17" t="s">
        <v>35</v>
      </c>
      <c r="G46" s="17" t="s">
        <v>147</v>
      </c>
      <c r="H46" s="17" t="s">
        <v>84</v>
      </c>
      <c r="I46" s="18">
        <v>50000000</v>
      </c>
      <c r="J46" s="19"/>
      <c r="K46" s="20"/>
      <c r="L46" s="24" t="s">
        <v>66</v>
      </c>
      <c r="M46" s="22"/>
      <c r="N46" s="23"/>
    </row>
    <row r="47" spans="1:14" ht="41.25" customHeight="1" x14ac:dyDescent="0.2">
      <c r="A47" s="12"/>
      <c r="B47" s="13" t="s">
        <v>148</v>
      </c>
      <c r="C47" s="14">
        <v>2026</v>
      </c>
      <c r="D47" s="15" t="s">
        <v>149</v>
      </c>
      <c r="E47" s="17" t="s">
        <v>150</v>
      </c>
      <c r="F47" s="17" t="s">
        <v>35</v>
      </c>
      <c r="G47" s="17" t="s">
        <v>151</v>
      </c>
      <c r="H47" s="17" t="s">
        <v>84</v>
      </c>
      <c r="I47" s="18">
        <v>50000000</v>
      </c>
      <c r="J47" s="20"/>
      <c r="K47" s="20"/>
      <c r="L47" s="24" t="s">
        <v>66</v>
      </c>
      <c r="M47" s="22"/>
      <c r="N47" s="23"/>
    </row>
    <row r="48" spans="1:14" ht="41.25" customHeight="1" x14ac:dyDescent="0.2">
      <c r="A48" s="12"/>
      <c r="B48" s="13" t="s">
        <v>152</v>
      </c>
      <c r="C48" s="14">
        <v>2026</v>
      </c>
      <c r="D48" s="15" t="s">
        <v>153</v>
      </c>
      <c r="E48" s="17" t="s">
        <v>154</v>
      </c>
      <c r="F48" s="17" t="s">
        <v>35</v>
      </c>
      <c r="G48" s="17" t="s">
        <v>155</v>
      </c>
      <c r="H48" s="17" t="s">
        <v>84</v>
      </c>
      <c r="I48" s="18">
        <v>50000000</v>
      </c>
      <c r="J48" s="19"/>
      <c r="K48" s="20"/>
      <c r="L48" s="24" t="s">
        <v>66</v>
      </c>
      <c r="M48" s="22"/>
      <c r="N48" s="23"/>
    </row>
    <row r="50" spans="1:14" x14ac:dyDescent="0.2">
      <c r="A50" s="28"/>
      <c r="B50" s="29"/>
      <c r="C50" s="30"/>
      <c r="D50" s="31"/>
      <c r="E50" s="31"/>
      <c r="F50" s="31"/>
      <c r="G50" s="31"/>
      <c r="H50" s="31"/>
      <c r="I50" s="32"/>
      <c r="J50" s="30"/>
      <c r="K50" s="30"/>
      <c r="L50" s="30"/>
      <c r="M50" s="30"/>
      <c r="N50" s="33"/>
    </row>
    <row r="51" spans="1:14" x14ac:dyDescent="0.2">
      <c r="A51" s="28"/>
      <c r="B51" s="29"/>
      <c r="C51" s="30"/>
      <c r="D51" s="31"/>
      <c r="E51" s="31"/>
      <c r="F51" s="31"/>
      <c r="G51" s="31"/>
      <c r="H51" s="31"/>
      <c r="I51" s="32"/>
      <c r="J51" s="30"/>
      <c r="K51" s="30"/>
      <c r="L51" s="30"/>
      <c r="M51" s="30"/>
      <c r="N51" s="33"/>
    </row>
    <row r="52" spans="1:14" ht="15.75" customHeight="1" x14ac:dyDescent="0.2"/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</sheetData>
  <mergeCells count="9">
    <mergeCell ref="H1:H2"/>
    <mergeCell ref="I1:K1"/>
    <mergeCell ref="L1:M1"/>
    <mergeCell ref="B1:B2"/>
    <mergeCell ref="C1:C2"/>
    <mergeCell ref="D1:D2"/>
    <mergeCell ref="E1:E2"/>
    <mergeCell ref="F1:F2"/>
    <mergeCell ref="G1:G2"/>
  </mergeCells>
  <hyperlinks>
    <hyperlink ref="L24" r:id="rId1" xr:uid="{37417BC0-47B0-6D4D-8D7D-0939B401EE8B}"/>
    <hyperlink ref="L25" r:id="rId2" xr:uid="{AAFE244C-B8B5-BF4C-9D94-86ADF9C22253}"/>
    <hyperlink ref="L26" r:id="rId3" xr:uid="{3060081D-03E3-1841-8869-55292E09BA32}"/>
    <hyperlink ref="L27" r:id="rId4" xr:uid="{1ACF0E4B-1E94-CB4C-A33C-85D0B429AC9E}"/>
    <hyperlink ref="L28" r:id="rId5" xr:uid="{59A72872-5A42-BA40-B3A8-5B2552CF1C2D}"/>
    <hyperlink ref="L29" r:id="rId6" xr:uid="{6BD3A874-EF4B-474C-9FD3-63321EAE51B5}"/>
    <hyperlink ref="L30" r:id="rId7" xr:uid="{55701AC2-B0BB-CF43-889D-C4A6DA4C68AF}"/>
    <hyperlink ref="L31" r:id="rId8" xr:uid="{4F14D00E-81E3-C147-9D82-E5D862D13376}"/>
    <hyperlink ref="L32" r:id="rId9" xr:uid="{DC125E45-3788-5044-AFDC-C694AD1CD6BF}"/>
    <hyperlink ref="L33" r:id="rId10" xr:uid="{2593C5BF-1CBE-EF46-A963-075B1AD74427}"/>
    <hyperlink ref="L34" r:id="rId11" xr:uid="{9BED2992-3748-EB47-B1DE-15F9185A0143}"/>
    <hyperlink ref="L35" r:id="rId12" xr:uid="{3862EF00-5379-DB4B-A9AB-832A821770ED}"/>
    <hyperlink ref="L36" r:id="rId13" xr:uid="{EE24B75C-E60C-3F47-9C90-125AAD3BC1B1}"/>
    <hyperlink ref="L37" r:id="rId14" xr:uid="{E5F8EC1A-1BBA-B141-BEFC-C75B97107D18}"/>
    <hyperlink ref="L38" r:id="rId15" xr:uid="{278A09F0-0485-A44B-9FF2-2F3496ABDFFD}"/>
    <hyperlink ref="L39" r:id="rId16" xr:uid="{16FDEF43-672A-1A47-97E9-3A796349DBEA}"/>
    <hyperlink ref="L40" r:id="rId17" xr:uid="{B2EB776B-F9B4-B846-A96D-100E59672D2B}"/>
    <hyperlink ref="L41" r:id="rId18" xr:uid="{BC9CDB58-FA02-3642-9418-65A28BBC6455}"/>
    <hyperlink ref="L42" r:id="rId19" xr:uid="{7D48B0DB-CE12-0F4F-9455-5A2FD1A82C03}"/>
    <hyperlink ref="L43" r:id="rId20" xr:uid="{3B3B49BC-0B4C-1B43-B64E-D99406565A2C}"/>
    <hyperlink ref="L44" r:id="rId21" xr:uid="{27049720-D313-9C45-BD1D-E2A8E4AEB20D}"/>
    <hyperlink ref="L46" r:id="rId22" xr:uid="{45A5B690-2CD0-8942-A311-2B794E296747}"/>
    <hyperlink ref="L47" r:id="rId23" xr:uid="{F09AC38F-4AF9-FF43-B079-BF465D153273}"/>
    <hyperlink ref="L48" r:id="rId24" xr:uid="{07F9077C-35F4-4A4A-BD28-BDC9F91CAF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Mindra</dc:creator>
  <cp:lastModifiedBy>Mindra</cp:lastModifiedBy>
  <dcterms:created xsi:type="dcterms:W3CDTF">2026-06-28T00:30:55Z</dcterms:created>
  <dcterms:modified xsi:type="dcterms:W3CDTF">2026-06-28T00:31:48Z</dcterms:modified>
</cp:coreProperties>
</file>